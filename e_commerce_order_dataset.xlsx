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Git Projects\Project 4\"/>
    </mc:Choice>
  </mc:AlternateContent>
  <xr:revisionPtr revIDLastSave="0" documentId="13_ncr:1_{14891883-6AD4-4E01-86D9-0A9439D0FB82}" xr6:coauthVersionLast="47" xr6:coauthVersionMax="47" xr10:uidLastSave="{00000000-0000-0000-0000-000000000000}"/>
  <bookViews>
    <workbookView xWindow="-120" yWindow="-120" windowWidth="21840" windowHeight="13020" tabRatio="642" xr2:uid="{E58E7B76-BBA2-4FEA-9902-8DB1E54E41DD}"/>
  </bookViews>
  <sheets>
    <sheet name="Sales Dashboard" sheetId="13" r:id="rId1"/>
    <sheet name="Dataset" sheetId="1" r:id="rId2"/>
    <sheet name="Cleaning Log" sheetId="3" r:id="rId3"/>
    <sheet name="KPI Summary" sheetId="4" r:id="rId4"/>
    <sheet name="Category Analysis" sheetId="5" r:id="rId5"/>
    <sheet name="Monthly Revenue" sheetId="6" r:id="rId6"/>
    <sheet name="Regional Revenue" sheetId="10" r:id="rId7"/>
    <sheet name="Shipping Analysis" sheetId="11" r:id="rId8"/>
    <sheet name="Quantity Analysis" sheetId="12" r:id="rId9"/>
    <sheet name="Monthly Chart Data" sheetId="8" r:id="rId10"/>
  </sheets>
  <definedNames>
    <definedName name="_xlnm._FilterDatabase" localSheetId="1" hidden="1">Dataset!$A$1:$L$1001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3" l="1"/>
  <c r="H6" i="13"/>
  <c r="O6" i="13"/>
  <c r="V6" i="13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B4" i="4"/>
  <c r="B3" i="4"/>
  <c r="B2" i="4"/>
  <c r="B5" i="4" s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<sst xmlns="http://schemas.openxmlformats.org/spreadsheetml/2006/main" count="6105" uniqueCount="1805">
  <si>
    <t>Order ID</t>
  </si>
  <si>
    <t>Order Date</t>
  </si>
  <si>
    <t>Customer Name</t>
  </si>
  <si>
    <t>Region</t>
  </si>
  <si>
    <t>Product Name</t>
  </si>
  <si>
    <t>Category</t>
  </si>
  <si>
    <t>Quantity</t>
  </si>
  <si>
    <t>Unit Price</t>
  </si>
  <si>
    <t>Discount %</t>
  </si>
  <si>
    <t>Total Revenue</t>
  </si>
  <si>
    <t>Profit</t>
  </si>
  <si>
    <t>Ship Mode</t>
  </si>
  <si>
    <t>ORD-10001</t>
  </si>
  <si>
    <t>Betty Miller</t>
  </si>
  <si>
    <t>West</t>
  </si>
  <si>
    <t>Portable Charger</t>
  </si>
  <si>
    <t>Electronics</t>
  </si>
  <si>
    <t>Standard</t>
  </si>
  <si>
    <t>ORD-10002</t>
  </si>
  <si>
    <t>Linda Lewis</t>
  </si>
  <si>
    <t>Central</t>
  </si>
  <si>
    <t>Eye Cream</t>
  </si>
  <si>
    <t>Beauty</t>
  </si>
  <si>
    <t>Express</t>
  </si>
  <si>
    <t>ORD-10003</t>
  </si>
  <si>
    <t>Robert Smith</t>
  </si>
  <si>
    <t>North</t>
  </si>
  <si>
    <t>Perfume Travel</t>
  </si>
  <si>
    <t>ORD-10004</t>
  </si>
  <si>
    <t>Jennifer Garcia</t>
  </si>
  <si>
    <t>Webcam HD</t>
  </si>
  <si>
    <t>ORD-10005</t>
  </si>
  <si>
    <t>Jessica Clark</t>
  </si>
  <si>
    <t>Keyboard Mechanical</t>
  </si>
  <si>
    <t>Same Day</t>
  </si>
  <si>
    <t>ORD-10006</t>
  </si>
  <si>
    <t>Steven Martinez</t>
  </si>
  <si>
    <t>East</t>
  </si>
  <si>
    <t>Throw Blanket</t>
  </si>
  <si>
    <t>Home</t>
  </si>
  <si>
    <t>ORD-10007</t>
  </si>
  <si>
    <t>Donna Harris</t>
  </si>
  <si>
    <t>South</t>
  </si>
  <si>
    <t>Body Lotion</t>
  </si>
  <si>
    <t>ORD-10008</t>
  </si>
  <si>
    <t>Ashley Gonzalez</t>
  </si>
  <si>
    <t>ORD-10009</t>
  </si>
  <si>
    <t>Emily Ramirez</t>
  </si>
  <si>
    <t>Casual Sneakers</t>
  </si>
  <si>
    <t>Clothing</t>
  </si>
  <si>
    <t>ORD-10010</t>
  </si>
  <si>
    <t>Richard Moore</t>
  </si>
  <si>
    <t>Cutting Board</t>
  </si>
  <si>
    <t>ORD-10011</t>
  </si>
  <si>
    <t>Michelle Moore</t>
  </si>
  <si>
    <t>USB-C Hub</t>
  </si>
  <si>
    <t>ORD-10012</t>
  </si>
  <si>
    <t>Anthony Lee</t>
  </si>
  <si>
    <t>Yoga Pants</t>
  </si>
  <si>
    <t>ORD-10013</t>
  </si>
  <si>
    <t>Daniel Davis</t>
  </si>
  <si>
    <t>Scented Candle Set</t>
  </si>
  <si>
    <t>ORD-10014</t>
  </si>
  <si>
    <t>Carol Jackson</t>
  </si>
  <si>
    <t>Smart Watch</t>
  </si>
  <si>
    <t>ORD-10015</t>
  </si>
  <si>
    <t>Thomas Moore</t>
  </si>
  <si>
    <t>ORD-10016</t>
  </si>
  <si>
    <t>Karen Robinson</t>
  </si>
  <si>
    <t>Desk Lamp</t>
  </si>
  <si>
    <t>ORD-10017</t>
  </si>
  <si>
    <t>Linda Davis</t>
  </si>
  <si>
    <t>ORD-10018</t>
  </si>
  <si>
    <t>Thomas Perez</t>
  </si>
  <si>
    <t>Foam Roller</t>
  </si>
  <si>
    <t>Sports</t>
  </si>
  <si>
    <t>ORD-10019</t>
  </si>
  <si>
    <t>Matthew Lee</t>
  </si>
  <si>
    <t>ORD-10020</t>
  </si>
  <si>
    <t>Lisa Moore</t>
  </si>
  <si>
    <t>Bluetooth Speaker</t>
  </si>
  <si>
    <t>ORD-10021</t>
  </si>
  <si>
    <t>Michelle Jackson</t>
  </si>
  <si>
    <t>Nail Polish Set</t>
  </si>
  <si>
    <t>ORD-10022</t>
  </si>
  <si>
    <t>William Gonzalez</t>
  </si>
  <si>
    <t>ORD-10023</t>
  </si>
  <si>
    <t>Karen Brown</t>
  </si>
  <si>
    <t>Sunscreen SPF50</t>
  </si>
  <si>
    <t>ORD-10024</t>
  </si>
  <si>
    <t>Joshua Garcia</t>
  </si>
  <si>
    <t>Athletic Socks</t>
  </si>
  <si>
    <t>ORD-10025</t>
  </si>
  <si>
    <t>Mary Lee</t>
  </si>
  <si>
    <t>Jump Rope</t>
  </si>
  <si>
    <t>ORD-10026</t>
  </si>
  <si>
    <t>Ashley Garcia</t>
  </si>
  <si>
    <t>ORD-10027</t>
  </si>
  <si>
    <t>Carol Davis</t>
  </si>
  <si>
    <t>ORD-10028</t>
  </si>
  <si>
    <t>Jessica Miller</t>
  </si>
  <si>
    <t>ORD-10029</t>
  </si>
  <si>
    <t>Andrew Brown</t>
  </si>
  <si>
    <t>ORD-10030</t>
  </si>
  <si>
    <t>Karen Harris</t>
  </si>
  <si>
    <t>Pillow Set</t>
  </si>
  <si>
    <t>ORD-10031</t>
  </si>
  <si>
    <t>Richard Robinson</t>
  </si>
  <si>
    <t>Swim Goggles</t>
  </si>
  <si>
    <t>ORD-10032</t>
  </si>
  <si>
    <t>Nancy Martinez</t>
  </si>
  <si>
    <t>Denim Jacket</t>
  </si>
  <si>
    <t>ORD-10033</t>
  </si>
  <si>
    <t>Thomas Clark</t>
  </si>
  <si>
    <t>ORD-10034</t>
  </si>
  <si>
    <t>Dorothy Perez</t>
  </si>
  <si>
    <t>ORD-10035</t>
  </si>
  <si>
    <t>Susan Clark</t>
  </si>
  <si>
    <t>Rain Jacket</t>
  </si>
  <si>
    <t>ORD-10036</t>
  </si>
  <si>
    <t>Kenneth Lopez</t>
  </si>
  <si>
    <t>ORD-10037</t>
  </si>
  <si>
    <t>Michael Johnson</t>
  </si>
  <si>
    <t>ORD-10038</t>
  </si>
  <si>
    <t>William Williams</t>
  </si>
  <si>
    <t>ORD-10039</t>
  </si>
  <si>
    <t>Andrew Davis</t>
  </si>
  <si>
    <t>ORD-10040</t>
  </si>
  <si>
    <t>Joseph Williams</t>
  </si>
  <si>
    <t>ORD-10041</t>
  </si>
  <si>
    <t>Sandra Lopez</t>
  </si>
  <si>
    <t>ORD-10042</t>
  </si>
  <si>
    <t>Thomas Thomas</t>
  </si>
  <si>
    <t>Dumbbells 10lb</t>
  </si>
  <si>
    <t>ORD-10043</t>
  </si>
  <si>
    <t>Donna Jackson</t>
  </si>
  <si>
    <t>Water Bottle</t>
  </si>
  <si>
    <t>ORD-10044</t>
  </si>
  <si>
    <t>Michael Perez</t>
  </si>
  <si>
    <t>ORD-10045</t>
  </si>
  <si>
    <t>Daniel Jones</t>
  </si>
  <si>
    <t>Laptop Stand</t>
  </si>
  <si>
    <t>ORD-10046</t>
  </si>
  <si>
    <t>Donna Robinson</t>
  </si>
  <si>
    <t>ORD-10047</t>
  </si>
  <si>
    <t>Dorothy Sanchez</t>
  </si>
  <si>
    <t>ORD-10048</t>
  </si>
  <si>
    <t>Thomas White</t>
  </si>
  <si>
    <t>Mouse Wireless</t>
  </si>
  <si>
    <t>ORD-10049</t>
  </si>
  <si>
    <t>Jessica Jones</t>
  </si>
  <si>
    <t>Blender</t>
  </si>
  <si>
    <t>ORD-10050</t>
  </si>
  <si>
    <t>Ashley Wilson</t>
  </si>
  <si>
    <t>Knife Set</t>
  </si>
  <si>
    <t>ORD-10051</t>
  </si>
  <si>
    <t>Elizabeth Martinez</t>
  </si>
  <si>
    <t>ORD-10052</t>
  </si>
  <si>
    <t>Betty Harris</t>
  </si>
  <si>
    <t>ORD-10053</t>
  </si>
  <si>
    <t>Matthew Jones</t>
  </si>
  <si>
    <t>ORD-10054</t>
  </si>
  <si>
    <t>Anthony Ramirez</t>
  </si>
  <si>
    <t>ORD-10055</t>
  </si>
  <si>
    <t>Donald Thomas</t>
  </si>
  <si>
    <t>ORD-10056</t>
  </si>
  <si>
    <t>Robert Garcia</t>
  </si>
  <si>
    <t>ORD-10057</t>
  </si>
  <si>
    <t>Donna Ramirez</t>
  </si>
  <si>
    <t>ORD-10058</t>
  </si>
  <si>
    <t>Linda Perez</t>
  </si>
  <si>
    <t>ORD-10059</t>
  </si>
  <si>
    <t>Ashley Brown</t>
  </si>
  <si>
    <t>ORD-10060</t>
  </si>
  <si>
    <t>Kimberly Miller</t>
  </si>
  <si>
    <t>ORD-10061</t>
  </si>
  <si>
    <t>Carol Lopez</t>
  </si>
  <si>
    <t>Cotton T-Shirt</t>
  </si>
  <si>
    <t>ORD-10062</t>
  </si>
  <si>
    <t>Sandra Martinez</t>
  </si>
  <si>
    <t>ORD-10063</t>
  </si>
  <si>
    <t>Carol Rodriguez</t>
  </si>
  <si>
    <t>ORD-10064</t>
  </si>
  <si>
    <t>Mark Smith</t>
  </si>
  <si>
    <t>Cargo Shorts</t>
  </si>
  <si>
    <t>ORD-10065</t>
  </si>
  <si>
    <t>William Ramirez</t>
  </si>
  <si>
    <t>Resistance Bands</t>
  </si>
  <si>
    <t>ORD-10066</t>
  </si>
  <si>
    <t>Ashley Martinez</t>
  </si>
  <si>
    <t>ORD-10067</t>
  </si>
  <si>
    <t>Kimberly Jones</t>
  </si>
  <si>
    <t>ORD-10068</t>
  </si>
  <si>
    <t>Betty Garcia</t>
  </si>
  <si>
    <t>ORD-10069</t>
  </si>
  <si>
    <t>Andrew Hernandez</t>
  </si>
  <si>
    <t>ORD-10070</t>
  </si>
  <si>
    <t>Richard Thomas</t>
  </si>
  <si>
    <t>ORD-10071</t>
  </si>
  <si>
    <t>Daniel Thomas</t>
  </si>
  <si>
    <t>ORD-10072</t>
  </si>
  <si>
    <t>Betty Wilson</t>
  </si>
  <si>
    <t>ORD-10073</t>
  </si>
  <si>
    <t>Susan Jackson</t>
  </si>
  <si>
    <t>ORD-10074</t>
  </si>
  <si>
    <t>Emily Smith</t>
  </si>
  <si>
    <t>ORD-10075</t>
  </si>
  <si>
    <t>William Martinez</t>
  </si>
  <si>
    <t>Face Moisturizer</t>
  </si>
  <si>
    <t>ORD-10076</t>
  </si>
  <si>
    <t>Joshua Smith</t>
  </si>
  <si>
    <t>Door Mat</t>
  </si>
  <si>
    <t>ORD-10077</t>
  </si>
  <si>
    <t>Richard Smith</t>
  </si>
  <si>
    <t>Wool Sweater</t>
  </si>
  <si>
    <t>ORD-10078</t>
  </si>
  <si>
    <t>Karen Anderson</t>
  </si>
  <si>
    <t>ORD-10079</t>
  </si>
  <si>
    <t>ORD-10080</t>
  </si>
  <si>
    <t>Daniel Robinson</t>
  </si>
  <si>
    <t>ORD-10081</t>
  </si>
  <si>
    <t>Elizabeth Anderson</t>
  </si>
  <si>
    <t>Hair Oil</t>
  </si>
  <si>
    <t>ORD-10082</t>
  </si>
  <si>
    <t>Steven Harris</t>
  </si>
  <si>
    <t>ORD-10083</t>
  </si>
  <si>
    <t>Sandra Thomas</t>
  </si>
  <si>
    <t>Coffee Maker</t>
  </si>
  <si>
    <t>ORD-10084</t>
  </si>
  <si>
    <t>Karen Miller</t>
  </si>
  <si>
    <t>ORD-10085</t>
  </si>
  <si>
    <t>Mark Thomas</t>
  </si>
  <si>
    <t>Face Mask Pack</t>
  </si>
  <si>
    <t>ORD-10086</t>
  </si>
  <si>
    <t>Kevin Taylor</t>
  </si>
  <si>
    <t>ORD-10087</t>
  </si>
  <si>
    <t>ORD-10088</t>
  </si>
  <si>
    <t>Matthew Taylor</t>
  </si>
  <si>
    <t>ORD-10089</t>
  </si>
  <si>
    <t>Kimberly Martinez</t>
  </si>
  <si>
    <t>ORD-10090</t>
  </si>
  <si>
    <t>Betty Anderson</t>
  </si>
  <si>
    <t>ORD-10091</t>
  </si>
  <si>
    <t>Michelle Smith</t>
  </si>
  <si>
    <t>ORD-10092</t>
  </si>
  <si>
    <t>Daniel Lewis</t>
  </si>
  <si>
    <t>Yoga Mat</t>
  </si>
  <si>
    <t>ORD-10093</t>
  </si>
  <si>
    <t>Linda Lee</t>
  </si>
  <si>
    <t>ORD-10094</t>
  </si>
  <si>
    <t>Susan Garcia</t>
  </si>
  <si>
    <t>ORD-10095</t>
  </si>
  <si>
    <t>Donna Wilson</t>
  </si>
  <si>
    <t>Running Shoes</t>
  </si>
  <si>
    <t>ORD-10096</t>
  </si>
  <si>
    <t>ORD-10097</t>
  </si>
  <si>
    <t>Andrew Taylor</t>
  </si>
  <si>
    <t>ORD-10098</t>
  </si>
  <si>
    <t>Karen Garcia</t>
  </si>
  <si>
    <t>ORD-10099</t>
  </si>
  <si>
    <t>Ashley Davis</t>
  </si>
  <si>
    <t>ORD-10100</t>
  </si>
  <si>
    <t>Steven White</t>
  </si>
  <si>
    <t>ORD-10101</t>
  </si>
  <si>
    <t>Karen Williams</t>
  </si>
  <si>
    <t>ORD-10102</t>
  </si>
  <si>
    <t>Andrew Gonzalez</t>
  </si>
  <si>
    <t>ORD-10103</t>
  </si>
  <si>
    <t>Christopher Brown</t>
  </si>
  <si>
    <t>Cycling Gloves</t>
  </si>
  <si>
    <t>ORD-10104</t>
  </si>
  <si>
    <t>Emily Lee</t>
  </si>
  <si>
    <t>ORD-10105</t>
  </si>
  <si>
    <t>Betty Robinson</t>
  </si>
  <si>
    <t>ORD-10106</t>
  </si>
  <si>
    <t>Barbara Lewis</t>
  </si>
  <si>
    <t>ORD-10107</t>
  </si>
  <si>
    <t>Elizabeth Sanchez</t>
  </si>
  <si>
    <t>ORD-10108</t>
  </si>
  <si>
    <t>Mary Jones</t>
  </si>
  <si>
    <t>ORD-10109</t>
  </si>
  <si>
    <t>Matthew Martinez</t>
  </si>
  <si>
    <t>ORD-10110</t>
  </si>
  <si>
    <t>Joseph Sanchez</t>
  </si>
  <si>
    <t>ORD-10111</t>
  </si>
  <si>
    <t>Robert Hernandez</t>
  </si>
  <si>
    <t>Storage Bins</t>
  </si>
  <si>
    <t>ORD-10112</t>
  </si>
  <si>
    <t>Lisa Lee</t>
  </si>
  <si>
    <t>ORD-10113</t>
  </si>
  <si>
    <t>Barbara Wilson</t>
  </si>
  <si>
    <t>Lip Balm Set</t>
  </si>
  <si>
    <t>ORD-10114</t>
  </si>
  <si>
    <t>ORD-10115</t>
  </si>
  <si>
    <t>Karen Moore</t>
  </si>
  <si>
    <t>ORD-10116</t>
  </si>
  <si>
    <t>Kenneth Brown</t>
  </si>
  <si>
    <t>ORD-10117</t>
  </si>
  <si>
    <t>Dorothy Rodriguez</t>
  </si>
  <si>
    <t>ORD-10118</t>
  </si>
  <si>
    <t>Richard Brown</t>
  </si>
  <si>
    <t>ORD-10119</t>
  </si>
  <si>
    <t>Jennifer Martinez</t>
  </si>
  <si>
    <t>ORD-10120</t>
  </si>
  <si>
    <t>Jessica Thompson</t>
  </si>
  <si>
    <t>ORD-10121</t>
  </si>
  <si>
    <t>Emily Davis</t>
  </si>
  <si>
    <t>ORD-10122</t>
  </si>
  <si>
    <t>Joshua Davis</t>
  </si>
  <si>
    <t>Tennis Balls</t>
  </si>
  <si>
    <t>ORD-10123</t>
  </si>
  <si>
    <t>ORD-10124</t>
  </si>
  <si>
    <t>Robert Williams</t>
  </si>
  <si>
    <t>ORD-10125</t>
  </si>
  <si>
    <t>Tablet Case</t>
  </si>
  <si>
    <t>ORD-10126</t>
  </si>
  <si>
    <t>Richard Thompson</t>
  </si>
  <si>
    <t>ORD-10127</t>
  </si>
  <si>
    <t>Mary Anderson</t>
  </si>
  <si>
    <t>ORD-10128</t>
  </si>
  <si>
    <t>Kevin Martin</t>
  </si>
  <si>
    <t>ORD-10129</t>
  </si>
  <si>
    <t>Emily Williams</t>
  </si>
  <si>
    <t>ORD-10130</t>
  </si>
  <si>
    <t>Wireless Headphones</t>
  </si>
  <si>
    <t>ORD-10131</t>
  </si>
  <si>
    <t>Kevin Martinez</t>
  </si>
  <si>
    <t>ORD-10132</t>
  </si>
  <si>
    <t>Betty Lee</t>
  </si>
  <si>
    <t>ORD-10133</t>
  </si>
  <si>
    <t>Ashley Johnson</t>
  </si>
  <si>
    <t>ORD-10134</t>
  </si>
  <si>
    <t>Richard Anderson</t>
  </si>
  <si>
    <t>ORD-10135</t>
  </si>
  <si>
    <t>Emily Martin</t>
  </si>
  <si>
    <t>ORD-10136</t>
  </si>
  <si>
    <t>Barbara Martinez</t>
  </si>
  <si>
    <t>ORD-10137</t>
  </si>
  <si>
    <t>Michael Ramirez</t>
  </si>
  <si>
    <t>ORD-10138</t>
  </si>
  <si>
    <t>Joseph Jones</t>
  </si>
  <si>
    <t>ORD-10139</t>
  </si>
  <si>
    <t>Matthew Johnson</t>
  </si>
  <si>
    <t>ORD-10140</t>
  </si>
  <si>
    <t>Robert Clark</t>
  </si>
  <si>
    <t>ORD-10141</t>
  </si>
  <si>
    <t>Richard Lee</t>
  </si>
  <si>
    <t>ORD-10142</t>
  </si>
  <si>
    <t>ORD-10143</t>
  </si>
  <si>
    <t>Linda Martinez</t>
  </si>
  <si>
    <t>ORD-10144</t>
  </si>
  <si>
    <t>Richard Gonzalez</t>
  </si>
  <si>
    <t>ORD-10145</t>
  </si>
  <si>
    <t>Barbara Lee</t>
  </si>
  <si>
    <t>ORD-10146</t>
  </si>
  <si>
    <t>Sarah Clark</t>
  </si>
  <si>
    <t>ORD-10147</t>
  </si>
  <si>
    <t>Mary Thomas</t>
  </si>
  <si>
    <t>ORD-10148</t>
  </si>
  <si>
    <t>Thomas Smith</t>
  </si>
  <si>
    <t>ORD-10149</t>
  </si>
  <si>
    <t>Thomas Brown</t>
  </si>
  <si>
    <t>ORD-10150</t>
  </si>
  <si>
    <t>Emily Thompson</t>
  </si>
  <si>
    <t>ORD-10151</t>
  </si>
  <si>
    <t>Kimberly Wilson</t>
  </si>
  <si>
    <t>ORD-10152</t>
  </si>
  <si>
    <t>Donald Brown</t>
  </si>
  <si>
    <t>ORD-10153</t>
  </si>
  <si>
    <t>James Brown</t>
  </si>
  <si>
    <t>ORD-10154</t>
  </si>
  <si>
    <t>ORD-10155</t>
  </si>
  <si>
    <t>Michelle Thompson</t>
  </si>
  <si>
    <t>ORD-10156</t>
  </si>
  <si>
    <t>Daniel Johnson</t>
  </si>
  <si>
    <t>ORD-10157</t>
  </si>
  <si>
    <t>Mary Miller</t>
  </si>
  <si>
    <t>ORD-10158</t>
  </si>
  <si>
    <t>Robert Robinson</t>
  </si>
  <si>
    <t>ORD-10159</t>
  </si>
  <si>
    <t>Jessica Ramirez</t>
  </si>
  <si>
    <t>ORD-10160</t>
  </si>
  <si>
    <t>Joshua Harris</t>
  </si>
  <si>
    <t>ORD-10161</t>
  </si>
  <si>
    <t>Elizabeth Jackson</t>
  </si>
  <si>
    <t>ORD-10162</t>
  </si>
  <si>
    <t>Daniel Jackson</t>
  </si>
  <si>
    <t>ORD-10163</t>
  </si>
  <si>
    <t>Elizabeth Williams</t>
  </si>
  <si>
    <t>ORD-10164</t>
  </si>
  <si>
    <t>Richard Martinez</t>
  </si>
  <si>
    <t>ORD-10165</t>
  </si>
  <si>
    <t>Mark Miller</t>
  </si>
  <si>
    <t>ORD-10166</t>
  </si>
  <si>
    <t>Kimberly Martin</t>
  </si>
  <si>
    <t>ORD-10167</t>
  </si>
  <si>
    <t>Ashley Thompson</t>
  </si>
  <si>
    <t>ORD-10168</t>
  </si>
  <si>
    <t>Matthew Thomas</t>
  </si>
  <si>
    <t>ORD-10169</t>
  </si>
  <si>
    <t>Betty Lewis</t>
  </si>
  <si>
    <t>ORD-10170</t>
  </si>
  <si>
    <t>Nancy Lopez</t>
  </si>
  <si>
    <t>ORD-10171</t>
  </si>
  <si>
    <t>Sandra Thompson</t>
  </si>
  <si>
    <t>ORD-10172</t>
  </si>
  <si>
    <t>ORD-10173</t>
  </si>
  <si>
    <t>Carol Johnson</t>
  </si>
  <si>
    <t>ORD-10174</t>
  </si>
  <si>
    <t>ORD-10175</t>
  </si>
  <si>
    <t>ORD-10176</t>
  </si>
  <si>
    <t>Susan Johnson</t>
  </si>
  <si>
    <t>ORD-10177</t>
  </si>
  <si>
    <t>William Davis</t>
  </si>
  <si>
    <t>ORD-10178</t>
  </si>
  <si>
    <t>Carol Sanchez</t>
  </si>
  <si>
    <t>ORD-10179</t>
  </si>
  <si>
    <t>Susan White</t>
  </si>
  <si>
    <t>ORD-10180</t>
  </si>
  <si>
    <t>Sandra Perez</t>
  </si>
  <si>
    <t>ORD-10181</t>
  </si>
  <si>
    <t>Elizabeth White</t>
  </si>
  <si>
    <t>ORD-10182</t>
  </si>
  <si>
    <t>Michelle Thomas</t>
  </si>
  <si>
    <t>ORD-10183</t>
  </si>
  <si>
    <t>Michael Jackson</t>
  </si>
  <si>
    <t>ORD-10184</t>
  </si>
  <si>
    <t>Lisa Lewis</t>
  </si>
  <si>
    <t>ORD-10185</t>
  </si>
  <si>
    <t>Betty Martinez</t>
  </si>
  <si>
    <t>ORD-10186</t>
  </si>
  <si>
    <t>Mark Perez</t>
  </si>
  <si>
    <t>ORD-10187</t>
  </si>
  <si>
    <t>William Johnson</t>
  </si>
  <si>
    <t>ORD-10188</t>
  </si>
  <si>
    <t>Daniel Sanchez</t>
  </si>
  <si>
    <t>ORD-10189</t>
  </si>
  <si>
    <t>Sarah Jackson</t>
  </si>
  <si>
    <t>ORD-10190</t>
  </si>
  <si>
    <t>Nancy Martin</t>
  </si>
  <si>
    <t>ORD-10191</t>
  </si>
  <si>
    <t>Joshua Brown</t>
  </si>
  <si>
    <t>ORD-10192</t>
  </si>
  <si>
    <t>Michelle Johnson</t>
  </si>
  <si>
    <t>ORD-10193</t>
  </si>
  <si>
    <t>Steven Ramirez</t>
  </si>
  <si>
    <t>ORD-10194</t>
  </si>
  <si>
    <t>Sarah Hernandez</t>
  </si>
  <si>
    <t>ORD-10195</t>
  </si>
  <si>
    <t>William Harris</t>
  </si>
  <si>
    <t>ORD-10196</t>
  </si>
  <si>
    <t>Kenneth Harris</t>
  </si>
  <si>
    <t>ORD-10197</t>
  </si>
  <si>
    <t>Michelle Sanchez</t>
  </si>
  <si>
    <t>ORD-10198</t>
  </si>
  <si>
    <t>Christopher Garcia</t>
  </si>
  <si>
    <t>ORD-10199</t>
  </si>
  <si>
    <t>Kevin Lee</t>
  </si>
  <si>
    <t>ORD-10200</t>
  </si>
  <si>
    <t>Michelle Ramirez</t>
  </si>
  <si>
    <t>Gym Bag</t>
  </si>
  <si>
    <t>ORD-10201</t>
  </si>
  <si>
    <t>ORD-10202</t>
  </si>
  <si>
    <t>Dorothy Davis</t>
  </si>
  <si>
    <t>ORD-10203</t>
  </si>
  <si>
    <t>Barbara Lopez</t>
  </si>
  <si>
    <t>ORD-10204</t>
  </si>
  <si>
    <t>Sandra Harris</t>
  </si>
  <si>
    <t>ORD-10205</t>
  </si>
  <si>
    <t>Andrew Harris</t>
  </si>
  <si>
    <t>ORD-10206</t>
  </si>
  <si>
    <t>Mark Davis</t>
  </si>
  <si>
    <t>ORD-10207</t>
  </si>
  <si>
    <t>Robert Perez</t>
  </si>
  <si>
    <t>ORD-10208</t>
  </si>
  <si>
    <t>Mark Moore</t>
  </si>
  <si>
    <t>ORD-10209</t>
  </si>
  <si>
    <t>Linda Hernandez</t>
  </si>
  <si>
    <t>ORD-10210</t>
  </si>
  <si>
    <t>Anthony Lopez</t>
  </si>
  <si>
    <t>ORD-10211</t>
  </si>
  <si>
    <t>James Smith</t>
  </si>
  <si>
    <t>ORD-10212</t>
  </si>
  <si>
    <t>Linda Johnson</t>
  </si>
  <si>
    <t>ORD-10213</t>
  </si>
  <si>
    <t>Donald Wilson</t>
  </si>
  <si>
    <t>ORD-10214</t>
  </si>
  <si>
    <t>Ashley Moore</t>
  </si>
  <si>
    <t>ORD-10215</t>
  </si>
  <si>
    <t>ORD-10216</t>
  </si>
  <si>
    <t>Steven Davis</t>
  </si>
  <si>
    <t>ORD-10217</t>
  </si>
  <si>
    <t>Donald Smith</t>
  </si>
  <si>
    <t>ORD-10218</t>
  </si>
  <si>
    <t>David Wilson</t>
  </si>
  <si>
    <t>ORD-10219</t>
  </si>
  <si>
    <t>Robert Brown</t>
  </si>
  <si>
    <t>ORD-10220</t>
  </si>
  <si>
    <t>Linda Anderson</t>
  </si>
  <si>
    <t>ORD-10221</t>
  </si>
  <si>
    <t>ORD-10222</t>
  </si>
  <si>
    <t>Jennifer Lopez</t>
  </si>
  <si>
    <t>Shampoo Organic</t>
  </si>
  <si>
    <t>ORD-10223</t>
  </si>
  <si>
    <t>Betty Ramirez</t>
  </si>
  <si>
    <t>ORD-10224</t>
  </si>
  <si>
    <t>Joseph Thompson</t>
  </si>
  <si>
    <t>ORD-10225</t>
  </si>
  <si>
    <t>Karen Lee</t>
  </si>
  <si>
    <t>ORD-10226</t>
  </si>
  <si>
    <t>Barbara Brown</t>
  </si>
  <si>
    <t>ORD-10227</t>
  </si>
  <si>
    <t>Joseph Moore</t>
  </si>
  <si>
    <t>ORD-10228</t>
  </si>
  <si>
    <t>Matthew Brown</t>
  </si>
  <si>
    <t>ORD-10229</t>
  </si>
  <si>
    <t>Sandra Robinson</t>
  </si>
  <si>
    <t>ORD-10230</t>
  </si>
  <si>
    <t>Christopher Anderson</t>
  </si>
  <si>
    <t>ORD-10231</t>
  </si>
  <si>
    <t>Steven Brown</t>
  </si>
  <si>
    <t>ORD-10232</t>
  </si>
  <si>
    <t>ORD-10233</t>
  </si>
  <si>
    <t>Karen Perez</t>
  </si>
  <si>
    <t>ORD-10234</t>
  </si>
  <si>
    <t>Robert Lee</t>
  </si>
  <si>
    <t>ORD-10235</t>
  </si>
  <si>
    <t>Michael Clark</t>
  </si>
  <si>
    <t>ORD-10236</t>
  </si>
  <si>
    <t>Daniel Williams</t>
  </si>
  <si>
    <t>ORD-10237</t>
  </si>
  <si>
    <t>Sarah Sanchez</t>
  </si>
  <si>
    <t>ORD-10238</t>
  </si>
  <si>
    <t>Donald Sanchez</t>
  </si>
  <si>
    <t>ORD-10239</t>
  </si>
  <si>
    <t>Sarah Johnson</t>
  </si>
  <si>
    <t>ORD-10240</t>
  </si>
  <si>
    <t>James Harris</t>
  </si>
  <si>
    <t>ORD-10241</t>
  </si>
  <si>
    <t>Donna Davis</t>
  </si>
  <si>
    <t>ORD-10242</t>
  </si>
  <si>
    <t>Joshua Williams</t>
  </si>
  <si>
    <t>ORD-10243</t>
  </si>
  <si>
    <t>Lisa Wilson</t>
  </si>
  <si>
    <t>ORD-10244</t>
  </si>
  <si>
    <t>ORD-10245</t>
  </si>
  <si>
    <t>ORD-10246</t>
  </si>
  <si>
    <t>Michelle Miller</t>
  </si>
  <si>
    <t>ORD-10247</t>
  </si>
  <si>
    <t>ORD-10248</t>
  </si>
  <si>
    <t>Jennifer Wilson</t>
  </si>
  <si>
    <t>ORD-10249</t>
  </si>
  <si>
    <t>Mary Ramirez</t>
  </si>
  <si>
    <t>ORD-10250</t>
  </si>
  <si>
    <t>Jennifer Clark</t>
  </si>
  <si>
    <t>ORD-10251</t>
  </si>
  <si>
    <t>Polo Shirt</t>
  </si>
  <si>
    <t>ORD-10252</t>
  </si>
  <si>
    <t>ORD-10253</t>
  </si>
  <si>
    <t>Dorothy Thomas</t>
  </si>
  <si>
    <t>ORD-10254</t>
  </si>
  <si>
    <t>ORD-10255</t>
  </si>
  <si>
    <t>ORD-10256</t>
  </si>
  <si>
    <t>Susan Moore</t>
  </si>
  <si>
    <t>ORD-10257</t>
  </si>
  <si>
    <t>Donald Lewis</t>
  </si>
  <si>
    <t>ORD-10258</t>
  </si>
  <si>
    <t>Sarah Anderson</t>
  </si>
  <si>
    <t>ORD-10259</t>
  </si>
  <si>
    <t>Ashley Harris</t>
  </si>
  <si>
    <t>ORD-10260</t>
  </si>
  <si>
    <t>William Martin</t>
  </si>
  <si>
    <t>ORD-10261</t>
  </si>
  <si>
    <t>Richard Jackson</t>
  </si>
  <si>
    <t>ORD-10262</t>
  </si>
  <si>
    <t>Jennifer Robinson</t>
  </si>
  <si>
    <t>ORD-10263</t>
  </si>
  <si>
    <t>Thomas Williams</t>
  </si>
  <si>
    <t>ORD-10264</t>
  </si>
  <si>
    <t>Susan Brown</t>
  </si>
  <si>
    <t>ORD-10265</t>
  </si>
  <si>
    <t>Mark Ramirez</t>
  </si>
  <si>
    <t>ORD-10266</t>
  </si>
  <si>
    <t>ORD-10267</t>
  </si>
  <si>
    <t>Anthony Harris</t>
  </si>
  <si>
    <t>ORD-10268</t>
  </si>
  <si>
    <t>Nancy Hernandez</t>
  </si>
  <si>
    <t>ORD-10269</t>
  </si>
  <si>
    <t>Joseph Brown</t>
  </si>
  <si>
    <t>ORD-10270</t>
  </si>
  <si>
    <t>Karen Clark</t>
  </si>
  <si>
    <t>ORD-10271</t>
  </si>
  <si>
    <t>ORD-10272</t>
  </si>
  <si>
    <t>Donald Taylor</t>
  </si>
  <si>
    <t>ORD-10273</t>
  </si>
  <si>
    <t>Joseph Thomas</t>
  </si>
  <si>
    <t>ORD-10274</t>
  </si>
  <si>
    <t>Ashley Ramirez</t>
  </si>
  <si>
    <t>ORD-10275</t>
  </si>
  <si>
    <t>Linda Garcia</t>
  </si>
  <si>
    <t>ORD-10276</t>
  </si>
  <si>
    <t>ORD-10277</t>
  </si>
  <si>
    <t>ORD-10278</t>
  </si>
  <si>
    <t>Michael Thompson</t>
  </si>
  <si>
    <t>ORD-10279</t>
  </si>
  <si>
    <t>Mary Martinez</t>
  </si>
  <si>
    <t>ORD-10280</t>
  </si>
  <si>
    <t>Dorothy Johnson</t>
  </si>
  <si>
    <t>ORD-10281</t>
  </si>
  <si>
    <t>Karen Smith</t>
  </si>
  <si>
    <t>ORD-10282</t>
  </si>
  <si>
    <t>Steven Lopez</t>
  </si>
  <si>
    <t>ORD-10283</t>
  </si>
  <si>
    <t>ORD-10284</t>
  </si>
  <si>
    <t>ORD-10285</t>
  </si>
  <si>
    <t>ORD-10286</t>
  </si>
  <si>
    <t>Mark Jackson</t>
  </si>
  <si>
    <t>ORD-10287</t>
  </si>
  <si>
    <t>Kenneth Clark</t>
  </si>
  <si>
    <t>ORD-10288</t>
  </si>
  <si>
    <t>ORD-10289</t>
  </si>
  <si>
    <t>Linda Thomas</t>
  </si>
  <si>
    <t>ORD-10290</t>
  </si>
  <si>
    <t>Michael White</t>
  </si>
  <si>
    <t>ORD-10291</t>
  </si>
  <si>
    <t>ORD-10292</t>
  </si>
  <si>
    <t>David Jackson</t>
  </si>
  <si>
    <t>ORD-10293</t>
  </si>
  <si>
    <t>ORD-10294</t>
  </si>
  <si>
    <t>Robert Lewis</t>
  </si>
  <si>
    <t>ORD-10295</t>
  </si>
  <si>
    <t>William Rodriguez</t>
  </si>
  <si>
    <t>ORD-10296</t>
  </si>
  <si>
    <t>Daniel Taylor</t>
  </si>
  <si>
    <t>ORD-10297</t>
  </si>
  <si>
    <t>Elizabeth Johnson</t>
  </si>
  <si>
    <t>ORD-10298</t>
  </si>
  <si>
    <t>Robert Jackson</t>
  </si>
  <si>
    <t>ORD-10299</t>
  </si>
  <si>
    <t>Thomas Harris</t>
  </si>
  <si>
    <t>ORD-10300</t>
  </si>
  <si>
    <t>ORD-10301</t>
  </si>
  <si>
    <t>Joshua Rodriguez</t>
  </si>
  <si>
    <t>ORD-10302</t>
  </si>
  <si>
    <t>ORD-10303</t>
  </si>
  <si>
    <t>Sandra Brown</t>
  </si>
  <si>
    <t>ORD-10304</t>
  </si>
  <si>
    <t>James Jackson</t>
  </si>
  <si>
    <t>ORD-10305</t>
  </si>
  <si>
    <t>Joseph Gonzalez</t>
  </si>
  <si>
    <t>ORD-10306</t>
  </si>
  <si>
    <t>Michelle Robinson</t>
  </si>
  <si>
    <t>ORD-10307</t>
  </si>
  <si>
    <t>Kenneth Johnson</t>
  </si>
  <si>
    <t>ORD-10308</t>
  </si>
  <si>
    <t>Elizabeth Ramirez</t>
  </si>
  <si>
    <t>ORD-10309</t>
  </si>
  <si>
    <t>ORD-10310</t>
  </si>
  <si>
    <t>Karen Lewis</t>
  </si>
  <si>
    <t>ORD-10311</t>
  </si>
  <si>
    <t>Thomas Martinez</t>
  </si>
  <si>
    <t>ORD-10312</t>
  </si>
  <si>
    <t>Paul Martin</t>
  </si>
  <si>
    <t>ORD-10313</t>
  </si>
  <si>
    <t>Dorothy Lopez</t>
  </si>
  <si>
    <t>ORD-10314</t>
  </si>
  <si>
    <t>Ashley Robinson</t>
  </si>
  <si>
    <t>ORD-10315</t>
  </si>
  <si>
    <t>Joseph Jackson</t>
  </si>
  <si>
    <t>ORD-10316</t>
  </si>
  <si>
    <t>Daniel Lee</t>
  </si>
  <si>
    <t>ORD-10317</t>
  </si>
  <si>
    <t>Nancy Davis</t>
  </si>
  <si>
    <t>ORD-10318</t>
  </si>
  <si>
    <t>Betty Moore</t>
  </si>
  <si>
    <t>ORD-10319</t>
  </si>
  <si>
    <t>ORD-10320</t>
  </si>
  <si>
    <t>ORD-10321</t>
  </si>
  <si>
    <t>Kevin White</t>
  </si>
  <si>
    <t>ORD-10322</t>
  </si>
  <si>
    <t>ORD-10323</t>
  </si>
  <si>
    <t>Paul Thomas</t>
  </si>
  <si>
    <t>ORD-10324</t>
  </si>
  <si>
    <t>Lisa Johnson</t>
  </si>
  <si>
    <t>ORD-10325</t>
  </si>
  <si>
    <t>ORD-10326</t>
  </si>
  <si>
    <t>Carol Clark</t>
  </si>
  <si>
    <t>ORD-10327</t>
  </si>
  <si>
    <t>Christopher Williams</t>
  </si>
  <si>
    <t>ORD-10328</t>
  </si>
  <si>
    <t>David Jones</t>
  </si>
  <si>
    <t>ORD-10329</t>
  </si>
  <si>
    <t>ORD-10330</t>
  </si>
  <si>
    <t>Jennifer Brown</t>
  </si>
  <si>
    <t>ORD-10331</t>
  </si>
  <si>
    <t>Dorothy Ramirez</t>
  </si>
  <si>
    <t>ORD-10332</t>
  </si>
  <si>
    <t>ORD-10333</t>
  </si>
  <si>
    <t>Jessica Sanchez</t>
  </si>
  <si>
    <t>ORD-10334</t>
  </si>
  <si>
    <t>Matthew Moore</t>
  </si>
  <si>
    <t>ORD-10335</t>
  </si>
  <si>
    <t>Emily Perez</t>
  </si>
  <si>
    <t>ORD-10336</t>
  </si>
  <si>
    <t>Jennifer Davis</t>
  </si>
  <si>
    <t>ORD-10337</t>
  </si>
  <si>
    <t>Matthew Smith</t>
  </si>
  <si>
    <t>ORD-10338</t>
  </si>
  <si>
    <t>Christopher Rodriguez</t>
  </si>
  <si>
    <t>ORD-10339</t>
  </si>
  <si>
    <t>ORD-10340</t>
  </si>
  <si>
    <t>Donna Lee</t>
  </si>
  <si>
    <t>ORD-10341</t>
  </si>
  <si>
    <t>Emily Brown</t>
  </si>
  <si>
    <t>ORD-10342</t>
  </si>
  <si>
    <t>ORD-10343</t>
  </si>
  <si>
    <t>ORD-10344</t>
  </si>
  <si>
    <t>William Sanchez</t>
  </si>
  <si>
    <t>ORD-10345</t>
  </si>
  <si>
    <t>ORD-10346</t>
  </si>
  <si>
    <t>Nancy Thompson</t>
  </si>
  <si>
    <t>ORD-10347</t>
  </si>
  <si>
    <t>ORD-10348</t>
  </si>
  <si>
    <t>ORD-10349</t>
  </si>
  <si>
    <t>Donna Lewis</t>
  </si>
  <si>
    <t>ORD-10350</t>
  </si>
  <si>
    <t>Andrew Perez</t>
  </si>
  <si>
    <t>ORD-10351</t>
  </si>
  <si>
    <t>ORD-10352</t>
  </si>
  <si>
    <t>Joseph Lee</t>
  </si>
  <si>
    <t>ORD-10353</t>
  </si>
  <si>
    <t>ORD-10354</t>
  </si>
  <si>
    <t>Dorothy Hernandez</t>
  </si>
  <si>
    <t>ORD-10355</t>
  </si>
  <si>
    <t>Matthew Rodriguez</t>
  </si>
  <si>
    <t>ORD-10356</t>
  </si>
  <si>
    <t>Michael Thomas</t>
  </si>
  <si>
    <t>ORD-10357</t>
  </si>
  <si>
    <t>Linda Clark</t>
  </si>
  <si>
    <t>ORD-10358</t>
  </si>
  <si>
    <t>ORD-10359</t>
  </si>
  <si>
    <t>Linda Harris</t>
  </si>
  <si>
    <t>ORD-10360</t>
  </si>
  <si>
    <t>Daniel Smith</t>
  </si>
  <si>
    <t>ORD-10361</t>
  </si>
  <si>
    <t>Kimberly Thomas</t>
  </si>
  <si>
    <t>ORD-10362</t>
  </si>
  <si>
    <t>ORD-10363</t>
  </si>
  <si>
    <t>ORD-10364</t>
  </si>
  <si>
    <t>Emily Lopez</t>
  </si>
  <si>
    <t>ORD-10365</t>
  </si>
  <si>
    <t>Christopher Gonzalez</t>
  </si>
  <si>
    <t>ORD-10366</t>
  </si>
  <si>
    <t>ORD-10367</t>
  </si>
  <si>
    <t>Mark Thompson</t>
  </si>
  <si>
    <t>ORD-10368</t>
  </si>
  <si>
    <t>Joshua Clark</t>
  </si>
  <si>
    <t>ORD-10369</t>
  </si>
  <si>
    <t>Richard Davis</t>
  </si>
  <si>
    <t>ORD-10370</t>
  </si>
  <si>
    <t>ORD-10371</t>
  </si>
  <si>
    <t>Sandra Lee</t>
  </si>
  <si>
    <t>ORD-10372</t>
  </si>
  <si>
    <t>ORD-10373</t>
  </si>
  <si>
    <t>Daniel Ramirez</t>
  </si>
  <si>
    <t>ORD-10374</t>
  </si>
  <si>
    <t>Anthony Lewis</t>
  </si>
  <si>
    <t>ORD-10375</t>
  </si>
  <si>
    <t>Jessica Perez</t>
  </si>
  <si>
    <t>ORD-10376</t>
  </si>
  <si>
    <t>Michelle Brown</t>
  </si>
  <si>
    <t>ORD-10377</t>
  </si>
  <si>
    <t>ORD-10378</t>
  </si>
  <si>
    <t>Mary Brown</t>
  </si>
  <si>
    <t>ORD-10379</t>
  </si>
  <si>
    <t>Emily Hernandez</t>
  </si>
  <si>
    <t>ORD-10380</t>
  </si>
  <si>
    <t>Mark Clark</t>
  </si>
  <si>
    <t>ORD-10381</t>
  </si>
  <si>
    <t>Donna Moore</t>
  </si>
  <si>
    <t>ORD-10382</t>
  </si>
  <si>
    <t>Christopher Lee</t>
  </si>
  <si>
    <t>ORD-10383</t>
  </si>
  <si>
    <t>Jessica Davis</t>
  </si>
  <si>
    <t>ORD-10384</t>
  </si>
  <si>
    <t>ORD-10385</t>
  </si>
  <si>
    <t>Sarah Williams</t>
  </si>
  <si>
    <t>ORD-10386</t>
  </si>
  <si>
    <t>Kevin Jones</t>
  </si>
  <si>
    <t>ORD-10387</t>
  </si>
  <si>
    <t>ORD-10388</t>
  </si>
  <si>
    <t>Susan Taylor</t>
  </si>
  <si>
    <t>ORD-10389</t>
  </si>
  <si>
    <t>Mark Brown</t>
  </si>
  <si>
    <t>ORD-10390</t>
  </si>
  <si>
    <t>Emily Sanchez</t>
  </si>
  <si>
    <t>ORD-10391</t>
  </si>
  <si>
    <t>Matthew Hernandez</t>
  </si>
  <si>
    <t>ORD-10392</t>
  </si>
  <si>
    <t>Barbara Robinson</t>
  </si>
  <si>
    <t>ORD-10393</t>
  </si>
  <si>
    <t>Carol Smith</t>
  </si>
  <si>
    <t>ORD-10394</t>
  </si>
  <si>
    <t>Emily Moore</t>
  </si>
  <si>
    <t>ORD-10395</t>
  </si>
  <si>
    <t>ORD-10396</t>
  </si>
  <si>
    <t>James Jones</t>
  </si>
  <si>
    <t>ORD-10397</t>
  </si>
  <si>
    <t>ORD-10398</t>
  </si>
  <si>
    <t>ORD-10399</t>
  </si>
  <si>
    <t>Carol Ramirez</t>
  </si>
  <si>
    <t>ORD-10400</t>
  </si>
  <si>
    <t>Donald Perez</t>
  </si>
  <si>
    <t>ORD-10401</t>
  </si>
  <si>
    <t>Steven Jones</t>
  </si>
  <si>
    <t>ORD-10402</t>
  </si>
  <si>
    <t>ORD-10403</t>
  </si>
  <si>
    <t>Kimberly Taylor</t>
  </si>
  <si>
    <t>ORD-10404</t>
  </si>
  <si>
    <t>ORD-10405</t>
  </si>
  <si>
    <t>Anthony Smith</t>
  </si>
  <si>
    <t>ORD-10406</t>
  </si>
  <si>
    <t>Joshua Lewis</t>
  </si>
  <si>
    <t>ORD-10407</t>
  </si>
  <si>
    <t>Paul Anderson</t>
  </si>
  <si>
    <t>ORD-10408</t>
  </si>
  <si>
    <t>ORD-10409</t>
  </si>
  <si>
    <t>ORD-10410</t>
  </si>
  <si>
    <t>Michael Lee</t>
  </si>
  <si>
    <t>ORD-10411</t>
  </si>
  <si>
    <t>ORD-10412</t>
  </si>
  <si>
    <t>Nancy Harris</t>
  </si>
  <si>
    <t>ORD-10413</t>
  </si>
  <si>
    <t>Donald Lopez</t>
  </si>
  <si>
    <t>ORD-10414</t>
  </si>
  <si>
    <t>ORD-10415</t>
  </si>
  <si>
    <t>Thomas Johnson</t>
  </si>
  <si>
    <t>ORD-10416</t>
  </si>
  <si>
    <t>James Anderson</t>
  </si>
  <si>
    <t>ORD-10417</t>
  </si>
  <si>
    <t>Jessica Harris</t>
  </si>
  <si>
    <t>ORD-10418</t>
  </si>
  <si>
    <t>Andrew Thompson</t>
  </si>
  <si>
    <t>ORD-10419</t>
  </si>
  <si>
    <t>Kenneth Thompson</t>
  </si>
  <si>
    <t>ORD-10420</t>
  </si>
  <si>
    <t>Joseph Clark</t>
  </si>
  <si>
    <t>ORD-10421</t>
  </si>
  <si>
    <t>Daniel Garcia</t>
  </si>
  <si>
    <t>ORD-10422</t>
  </si>
  <si>
    <t>Robert Martin</t>
  </si>
  <si>
    <t>ORD-10423</t>
  </si>
  <si>
    <t>Joshua Johnson</t>
  </si>
  <si>
    <t>ORD-10424</t>
  </si>
  <si>
    <t>ORD-10425</t>
  </si>
  <si>
    <t>Anthony Gonzalez</t>
  </si>
  <si>
    <t>ORD-10426</t>
  </si>
  <si>
    <t>Richard Harris</t>
  </si>
  <si>
    <t>ORD-10427</t>
  </si>
  <si>
    <t>Betty Taylor</t>
  </si>
  <si>
    <t>ORD-10428</t>
  </si>
  <si>
    <t>James Ramirez</t>
  </si>
  <si>
    <t>ORD-10429</t>
  </si>
  <si>
    <t>Anthony Anderson</t>
  </si>
  <si>
    <t>ORD-10430</t>
  </si>
  <si>
    <t>ORD-10431</t>
  </si>
  <si>
    <t>Susan Thompson</t>
  </si>
  <si>
    <t>ORD-10432</t>
  </si>
  <si>
    <t>Susan Lopez</t>
  </si>
  <si>
    <t>ORD-10433</t>
  </si>
  <si>
    <t>ORD-10434</t>
  </si>
  <si>
    <t>Ashley Lee</t>
  </si>
  <si>
    <t>ORD-10435</t>
  </si>
  <si>
    <t>ORD-10436</t>
  </si>
  <si>
    <t>Barbara Perez</t>
  </si>
  <si>
    <t>ORD-10437</t>
  </si>
  <si>
    <t>Michelle Martin</t>
  </si>
  <si>
    <t>ORD-10438</t>
  </si>
  <si>
    <t>ORD-10439</t>
  </si>
  <si>
    <t>Elizabeth Gonzalez</t>
  </si>
  <si>
    <t>ORD-10440</t>
  </si>
  <si>
    <t>ORD-10441</t>
  </si>
  <si>
    <t>Matthew Lopez</t>
  </si>
  <si>
    <t>ORD-10442</t>
  </si>
  <si>
    <t>ORD-10443</t>
  </si>
  <si>
    <t>ORD-10444</t>
  </si>
  <si>
    <t>ORD-10445</t>
  </si>
  <si>
    <t>Carol Martinez</t>
  </si>
  <si>
    <t>ORD-10446</t>
  </si>
  <si>
    <t>Kenneth Perez</t>
  </si>
  <si>
    <t>ORD-10447</t>
  </si>
  <si>
    <t>ORD-10448</t>
  </si>
  <si>
    <t>Michael Williams</t>
  </si>
  <si>
    <t>ORD-10449</t>
  </si>
  <si>
    <t>Sarah Garcia</t>
  </si>
  <si>
    <t>ORD-10450</t>
  </si>
  <si>
    <t>Linda Williams</t>
  </si>
  <si>
    <t>ORD-10451</t>
  </si>
  <si>
    <t>Jessica Williams</t>
  </si>
  <si>
    <t>ORD-10452</t>
  </si>
  <si>
    <t>Kenneth Sanchez</t>
  </si>
  <si>
    <t>ORD-10453</t>
  </si>
  <si>
    <t>ORD-10454</t>
  </si>
  <si>
    <t>Carol Garcia</t>
  </si>
  <si>
    <t>ORD-10455</t>
  </si>
  <si>
    <t>Richard White</t>
  </si>
  <si>
    <t>ORD-10456</t>
  </si>
  <si>
    <t>James Taylor</t>
  </si>
  <si>
    <t>ORD-10457</t>
  </si>
  <si>
    <t>William Lewis</t>
  </si>
  <si>
    <t>ORD-10458</t>
  </si>
  <si>
    <t>David Garcia</t>
  </si>
  <si>
    <t>ORD-10459</t>
  </si>
  <si>
    <t>ORD-10460</t>
  </si>
  <si>
    <t>Paul Garcia</t>
  </si>
  <si>
    <t>ORD-10461</t>
  </si>
  <si>
    <t>Sandra Williams</t>
  </si>
  <si>
    <t>ORD-10462</t>
  </si>
  <si>
    <t>Donna White</t>
  </si>
  <si>
    <t>ORD-10463</t>
  </si>
  <si>
    <t>David Martinez</t>
  </si>
  <si>
    <t>ORD-10464</t>
  </si>
  <si>
    <t>Joshua Lee</t>
  </si>
  <si>
    <t>ORD-10465</t>
  </si>
  <si>
    <t>ORD-10466</t>
  </si>
  <si>
    <t>Barbara Miller</t>
  </si>
  <si>
    <t>ORD-10467</t>
  </si>
  <si>
    <t>ORD-10468</t>
  </si>
  <si>
    <t>ORD-10469</t>
  </si>
  <si>
    <t>Thomas Gonzalez</t>
  </si>
  <si>
    <t>ORD-10470</t>
  </si>
  <si>
    <t>Matthew Robinson</t>
  </si>
  <si>
    <t>ORD-10471</t>
  </si>
  <si>
    <t>Carol Robinson</t>
  </si>
  <si>
    <t>ORD-10472</t>
  </si>
  <si>
    <t>Daniel Clark</t>
  </si>
  <si>
    <t>ORD-10473</t>
  </si>
  <si>
    <t>Betty Davis</t>
  </si>
  <si>
    <t>ORD-10474</t>
  </si>
  <si>
    <t>Richard Ramirez</t>
  </si>
  <si>
    <t>ORD-10475</t>
  </si>
  <si>
    <t>Jennifer Johnson</t>
  </si>
  <si>
    <t>ORD-10476</t>
  </si>
  <si>
    <t>Thomas Jones</t>
  </si>
  <si>
    <t>ORD-10477</t>
  </si>
  <si>
    <t>Matthew Sanchez</t>
  </si>
  <si>
    <t>ORD-10478</t>
  </si>
  <si>
    <t>Michael Miller</t>
  </si>
  <si>
    <t>ORD-10479</t>
  </si>
  <si>
    <t>Robert Anderson</t>
  </si>
  <si>
    <t>ORD-10480</t>
  </si>
  <si>
    <t>ORD-10481</t>
  </si>
  <si>
    <t>Christopher Ramirez</t>
  </si>
  <si>
    <t>ORD-10482</t>
  </si>
  <si>
    <t>Kimberly Johnson</t>
  </si>
  <si>
    <t>ORD-10483</t>
  </si>
  <si>
    <t>Sarah Thompson</t>
  </si>
  <si>
    <t>ORD-10484</t>
  </si>
  <si>
    <t>ORD-10485</t>
  </si>
  <si>
    <t>Donald Martinez</t>
  </si>
  <si>
    <t>ORD-10486</t>
  </si>
  <si>
    <t>Nancy Williams</t>
  </si>
  <si>
    <t>ORD-10487</t>
  </si>
  <si>
    <t>ORD-10488</t>
  </si>
  <si>
    <t>ORD-10489</t>
  </si>
  <si>
    <t>Kimberly Lewis</t>
  </si>
  <si>
    <t>ORD-10490</t>
  </si>
  <si>
    <t>Joseph Taylor</t>
  </si>
  <si>
    <t>ORD-10491</t>
  </si>
  <si>
    <t>ORD-10492</t>
  </si>
  <si>
    <t>ORD-10493</t>
  </si>
  <si>
    <t>ORD-10494</t>
  </si>
  <si>
    <t>Jessica Johnson</t>
  </si>
  <si>
    <t>ORD-10495</t>
  </si>
  <si>
    <t>ORD-10496</t>
  </si>
  <si>
    <t>David Moore</t>
  </si>
  <si>
    <t>ORD-10497</t>
  </si>
  <si>
    <t>James Miller</t>
  </si>
  <si>
    <t>ORD-10498</t>
  </si>
  <si>
    <t>ORD-10499</t>
  </si>
  <si>
    <t>Barbara Hernandez</t>
  </si>
  <si>
    <t>ORD-10500</t>
  </si>
  <si>
    <t>ORD-10501</t>
  </si>
  <si>
    <t>ORD-10502</t>
  </si>
  <si>
    <t>ORD-10503</t>
  </si>
  <si>
    <t>ORD-10504</t>
  </si>
  <si>
    <t>Daniel Brown</t>
  </si>
  <si>
    <t>ORD-10505</t>
  </si>
  <si>
    <t>Jennifer Martin</t>
  </si>
  <si>
    <t>ORD-10506</t>
  </si>
  <si>
    <t>Kevin Brown</t>
  </si>
  <si>
    <t>ORD-10507</t>
  </si>
  <si>
    <t>ORD-10508</t>
  </si>
  <si>
    <t>ORD-10509</t>
  </si>
  <si>
    <t>Betty Lopez</t>
  </si>
  <si>
    <t>ORD-10510</t>
  </si>
  <si>
    <t>Barbara Sanchez</t>
  </si>
  <si>
    <t>ORD-10511</t>
  </si>
  <si>
    <t>ORD-10512</t>
  </si>
  <si>
    <t>ORD-10513</t>
  </si>
  <si>
    <t>ORD-10514</t>
  </si>
  <si>
    <t>Joshua Thompson</t>
  </si>
  <si>
    <t>ORD-10515</t>
  </si>
  <si>
    <t>Joshua Jackson</t>
  </si>
  <si>
    <t>ORD-10516</t>
  </si>
  <si>
    <t>ORD-10517</t>
  </si>
  <si>
    <t>ORD-10518</t>
  </si>
  <si>
    <t>ORD-10519</t>
  </si>
  <si>
    <t>Joseph Harris</t>
  </si>
  <si>
    <t>ORD-10520</t>
  </si>
  <si>
    <t>William Hernandez</t>
  </si>
  <si>
    <t>ORD-10521</t>
  </si>
  <si>
    <t>ORD-10522</t>
  </si>
  <si>
    <t>Sarah Miller</t>
  </si>
  <si>
    <t>ORD-10523</t>
  </si>
  <si>
    <t>Paul Rodriguez</t>
  </si>
  <si>
    <t>ORD-10524</t>
  </si>
  <si>
    <t>David Perez</t>
  </si>
  <si>
    <t>ORD-10525</t>
  </si>
  <si>
    <t>ORD-10526</t>
  </si>
  <si>
    <t>ORD-10527</t>
  </si>
  <si>
    <t>ORD-10528</t>
  </si>
  <si>
    <t>ORD-10529</t>
  </si>
  <si>
    <t>Jennifer Thompson</t>
  </si>
  <si>
    <t>ORD-10530</t>
  </si>
  <si>
    <t>ORD-10531</t>
  </si>
  <si>
    <t>Mary Jackson</t>
  </si>
  <si>
    <t>ORD-10532</t>
  </si>
  <si>
    <t>Andrew White</t>
  </si>
  <si>
    <t>ORD-10533</t>
  </si>
  <si>
    <t>Daniel Martin</t>
  </si>
  <si>
    <t>ORD-10534</t>
  </si>
  <si>
    <t>Lisa Gonzalez</t>
  </si>
  <si>
    <t>ORD-10535</t>
  </si>
  <si>
    <t>Lisa Perez</t>
  </si>
  <si>
    <t>ORD-10536</t>
  </si>
  <si>
    <t>David Harris</t>
  </si>
  <si>
    <t>ORD-10537</t>
  </si>
  <si>
    <t>Ashley Williams</t>
  </si>
  <si>
    <t>ORD-10538</t>
  </si>
  <si>
    <t>ORD-10539</t>
  </si>
  <si>
    <t>Mark Robinson</t>
  </si>
  <si>
    <t>ORD-10540</t>
  </si>
  <si>
    <t>David Smith</t>
  </si>
  <si>
    <t>ORD-10541</t>
  </si>
  <si>
    <t>Robert Sanchez</t>
  </si>
  <si>
    <t>ORD-10542</t>
  </si>
  <si>
    <t>Jessica Moore</t>
  </si>
  <si>
    <t>ORD-10543</t>
  </si>
  <si>
    <t>ORD-10544</t>
  </si>
  <si>
    <t>Donald Garcia</t>
  </si>
  <si>
    <t>ORD-10545</t>
  </si>
  <si>
    <t>ORD-10546</t>
  </si>
  <si>
    <t>ORD-10547</t>
  </si>
  <si>
    <t>ORD-10548</t>
  </si>
  <si>
    <t>Joshua Martinez</t>
  </si>
  <si>
    <t>ORD-10549</t>
  </si>
  <si>
    <t>ORD-10550</t>
  </si>
  <si>
    <t>Mark Garcia</t>
  </si>
  <si>
    <t>ORD-10551</t>
  </si>
  <si>
    <t>Joshua Hernandez</t>
  </si>
  <si>
    <t>ORD-10552</t>
  </si>
  <si>
    <t>Barbara Anderson</t>
  </si>
  <si>
    <t>ORD-10553</t>
  </si>
  <si>
    <t>Jessica White</t>
  </si>
  <si>
    <t>ORD-10554</t>
  </si>
  <si>
    <t>ORD-10555</t>
  </si>
  <si>
    <t>ORD-10556</t>
  </si>
  <si>
    <t>Mary Lewis</t>
  </si>
  <si>
    <t>ORD-10557</t>
  </si>
  <si>
    <t>ORD-10558</t>
  </si>
  <si>
    <t>ORD-10559</t>
  </si>
  <si>
    <t>Kenneth Gonzalez</t>
  </si>
  <si>
    <t>ORD-10560</t>
  </si>
  <si>
    <t>William Smith</t>
  </si>
  <si>
    <t>ORD-10561</t>
  </si>
  <si>
    <t>Steven Clark</t>
  </si>
  <si>
    <t>ORD-10562</t>
  </si>
  <si>
    <t>Richard Wilson</t>
  </si>
  <si>
    <t>ORD-10563</t>
  </si>
  <si>
    <t>Thomas Davis</t>
  </si>
  <si>
    <t>ORD-10564</t>
  </si>
  <si>
    <t>Paul Wilson</t>
  </si>
  <si>
    <t>ORD-10565</t>
  </si>
  <si>
    <t>ORD-10566</t>
  </si>
  <si>
    <t>Joseph Lopez</t>
  </si>
  <si>
    <t>ORD-10567</t>
  </si>
  <si>
    <t>Lisa Brown</t>
  </si>
  <si>
    <t>ORD-10568</t>
  </si>
  <si>
    <t>Donna Clark</t>
  </si>
  <si>
    <t>ORD-10569</t>
  </si>
  <si>
    <t>ORD-10570</t>
  </si>
  <si>
    <t>Lisa Davis</t>
  </si>
  <si>
    <t>ORD-10571</t>
  </si>
  <si>
    <t>Kimberly Jackson</t>
  </si>
  <si>
    <t>ORD-10572</t>
  </si>
  <si>
    <t>Christopher Thompson</t>
  </si>
  <si>
    <t>ORD-10573</t>
  </si>
  <si>
    <t>William Anderson</t>
  </si>
  <si>
    <t>ORD-10574</t>
  </si>
  <si>
    <t>Michelle Rodriguez</t>
  </si>
  <si>
    <t>ORD-10575</t>
  </si>
  <si>
    <t>ORD-10576</t>
  </si>
  <si>
    <t>Andrew Robinson</t>
  </si>
  <si>
    <t>ORD-10577</t>
  </si>
  <si>
    <t>ORD-10578</t>
  </si>
  <si>
    <t>ORD-10579</t>
  </si>
  <si>
    <t>Lisa Ramirez</t>
  </si>
  <si>
    <t>ORD-10580</t>
  </si>
  <si>
    <t>ORD-10581</t>
  </si>
  <si>
    <t>ORD-10582</t>
  </si>
  <si>
    <t>Matthew Gonzalez</t>
  </si>
  <si>
    <t>ORD-10583</t>
  </si>
  <si>
    <t>David White</t>
  </si>
  <si>
    <t>ORD-10584</t>
  </si>
  <si>
    <t>Michelle Harris</t>
  </si>
  <si>
    <t>ORD-10585</t>
  </si>
  <si>
    <t>ORD-10586</t>
  </si>
  <si>
    <t>Kimberly Williams</t>
  </si>
  <si>
    <t>ORD-10587</t>
  </si>
  <si>
    <t>Andrew Clark</t>
  </si>
  <si>
    <t>ORD-10588</t>
  </si>
  <si>
    <t>ORD-10589</t>
  </si>
  <si>
    <t>Barbara Johnson</t>
  </si>
  <si>
    <t>ORD-10590</t>
  </si>
  <si>
    <t>Susan Smith</t>
  </si>
  <si>
    <t>ORD-10591</t>
  </si>
  <si>
    <t>Sandra Jackson</t>
  </si>
  <si>
    <t>ORD-10592</t>
  </si>
  <si>
    <t>Robert Jones</t>
  </si>
  <si>
    <t>ORD-10593</t>
  </si>
  <si>
    <t>Steven Wilson</t>
  </si>
  <si>
    <t>ORD-10594</t>
  </si>
  <si>
    <t>Emily Garcia</t>
  </si>
  <si>
    <t>ORD-10595</t>
  </si>
  <si>
    <t>Michael Hernandez</t>
  </si>
  <si>
    <t>ORD-10596</t>
  </si>
  <si>
    <t>ORD-10597</t>
  </si>
  <si>
    <t>Carol White</t>
  </si>
  <si>
    <t>ORD-10598</t>
  </si>
  <si>
    <t>ORD-10599</t>
  </si>
  <si>
    <t>Christopher Clark</t>
  </si>
  <si>
    <t>ORD-10600</t>
  </si>
  <si>
    <t>Michelle Perez</t>
  </si>
  <si>
    <t>ORD-10601</t>
  </si>
  <si>
    <t>ORD-10602</t>
  </si>
  <si>
    <t>Richard Lewis</t>
  </si>
  <si>
    <t>ORD-10603</t>
  </si>
  <si>
    <t>ORD-10604</t>
  </si>
  <si>
    <t>Daniel Miller</t>
  </si>
  <si>
    <t>ORD-10605</t>
  </si>
  <si>
    <t>Daniel Thompson</t>
  </si>
  <si>
    <t>ORD-10606</t>
  </si>
  <si>
    <t>ORD-10607</t>
  </si>
  <si>
    <t>ORD-10608</t>
  </si>
  <si>
    <t>ORD-10609</t>
  </si>
  <si>
    <t>ORD-10610</t>
  </si>
  <si>
    <t>ORD-10611</t>
  </si>
  <si>
    <t>James Garcia</t>
  </si>
  <si>
    <t>ORD-10612</t>
  </si>
  <si>
    <t>ORD-10613</t>
  </si>
  <si>
    <t>ORD-10614</t>
  </si>
  <si>
    <t>Jennifer Jones</t>
  </si>
  <si>
    <t>ORD-10615</t>
  </si>
  <si>
    <t>ORD-10616</t>
  </si>
  <si>
    <t>ORD-10617</t>
  </si>
  <si>
    <t>Kevin Clark</t>
  </si>
  <si>
    <t>ORD-10618</t>
  </si>
  <si>
    <t>Betty Jones</t>
  </si>
  <si>
    <t>ORD-10619</t>
  </si>
  <si>
    <t>Sarah Davis</t>
  </si>
  <si>
    <t>ORD-10620</t>
  </si>
  <si>
    <t>Michelle Garcia</t>
  </si>
  <si>
    <t>ORD-10621</t>
  </si>
  <si>
    <t>ORD-10622</t>
  </si>
  <si>
    <t>ORD-10623</t>
  </si>
  <si>
    <t>ORD-10624</t>
  </si>
  <si>
    <t>ORD-10625</t>
  </si>
  <si>
    <t>Anthony Johnson</t>
  </si>
  <si>
    <t>ORD-10626</t>
  </si>
  <si>
    <t>Donna Hernandez</t>
  </si>
  <si>
    <t>ORD-10627</t>
  </si>
  <si>
    <t>Barbara Harris</t>
  </si>
  <si>
    <t>ORD-10628</t>
  </si>
  <si>
    <t>Kimberly Lopez</t>
  </si>
  <si>
    <t>ORD-10629</t>
  </si>
  <si>
    <t>Sarah Perez</t>
  </si>
  <si>
    <t>ORD-10630</t>
  </si>
  <si>
    <t>Joseph Anderson</t>
  </si>
  <si>
    <t>ORD-10631</t>
  </si>
  <si>
    <t>David Thomas</t>
  </si>
  <si>
    <t>ORD-10632</t>
  </si>
  <si>
    <t>James Johnson</t>
  </si>
  <si>
    <t>ORD-10633</t>
  </si>
  <si>
    <t>ORD-10634</t>
  </si>
  <si>
    <t>ORD-10635</t>
  </si>
  <si>
    <t>ORD-10636</t>
  </si>
  <si>
    <t>Paul Jackson</t>
  </si>
  <si>
    <t>ORD-10637</t>
  </si>
  <si>
    <t>ORD-10638</t>
  </si>
  <si>
    <t>ORD-10639</t>
  </si>
  <si>
    <t>ORD-10640</t>
  </si>
  <si>
    <t>Dorothy Lewis</t>
  </si>
  <si>
    <t>ORD-10641</t>
  </si>
  <si>
    <t>Joshua Perez</t>
  </si>
  <si>
    <t>ORD-10642</t>
  </si>
  <si>
    <t>Elizabeth Martin</t>
  </si>
  <si>
    <t>ORD-10643</t>
  </si>
  <si>
    <t>ORD-10644</t>
  </si>
  <si>
    <t>Robert Thompson</t>
  </si>
  <si>
    <t>ORD-10645</t>
  </si>
  <si>
    <t>ORD-10646</t>
  </si>
  <si>
    <t>Anthony Taylor</t>
  </si>
  <si>
    <t>ORD-10647</t>
  </si>
  <si>
    <t>Andrew Wilson</t>
  </si>
  <si>
    <t>ORD-10648</t>
  </si>
  <si>
    <t>Jennifer Harris</t>
  </si>
  <si>
    <t>ORD-10649</t>
  </si>
  <si>
    <t>ORD-10650</t>
  </si>
  <si>
    <t>ORD-10651</t>
  </si>
  <si>
    <t>Dorothy Thompson</t>
  </si>
  <si>
    <t>ORD-10652</t>
  </si>
  <si>
    <t>ORD-10653</t>
  </si>
  <si>
    <t>Dorothy Jackson</t>
  </si>
  <si>
    <t>ORD-10654</t>
  </si>
  <si>
    <t>ORD-10655</t>
  </si>
  <si>
    <t>ORD-10656</t>
  </si>
  <si>
    <t>Matthew Harris</t>
  </si>
  <si>
    <t>ORD-10657</t>
  </si>
  <si>
    <t>Paul Lee</t>
  </si>
  <si>
    <t>ORD-10658</t>
  </si>
  <si>
    <t>ORD-10659</t>
  </si>
  <si>
    <t>ORD-10660</t>
  </si>
  <si>
    <t>Susan Jones</t>
  </si>
  <si>
    <t>ORD-10661</t>
  </si>
  <si>
    <t>Dorothy Martinez</t>
  </si>
  <si>
    <t>ORD-10662</t>
  </si>
  <si>
    <t>William Thompson</t>
  </si>
  <si>
    <t>ORD-10663</t>
  </si>
  <si>
    <t>ORD-10664</t>
  </si>
  <si>
    <t>Linda Robinson</t>
  </si>
  <si>
    <t>ORD-10665</t>
  </si>
  <si>
    <t>ORD-10666</t>
  </si>
  <si>
    <t>Christopher Martin</t>
  </si>
  <si>
    <t>ORD-10667</t>
  </si>
  <si>
    <t>Sandra Anderson</t>
  </si>
  <si>
    <t>ORD-10668</t>
  </si>
  <si>
    <t>ORD-10669</t>
  </si>
  <si>
    <t>Lisa Lopez</t>
  </si>
  <si>
    <t>ORD-10670</t>
  </si>
  <si>
    <t>Richard Martin</t>
  </si>
  <si>
    <t>ORD-10671</t>
  </si>
  <si>
    <t>ORD-10672</t>
  </si>
  <si>
    <t>ORD-10673</t>
  </si>
  <si>
    <t>ORD-10674</t>
  </si>
  <si>
    <t>Donna Miller</t>
  </si>
  <si>
    <t>ORD-10675</t>
  </si>
  <si>
    <t>Dorothy Garcia</t>
  </si>
  <si>
    <t>ORD-10676</t>
  </si>
  <si>
    <t>Donna Garcia</t>
  </si>
  <si>
    <t>ORD-10677</t>
  </si>
  <si>
    <t>David Brown</t>
  </si>
  <si>
    <t>ORD-10678</t>
  </si>
  <si>
    <t>ORD-10679</t>
  </si>
  <si>
    <t>ORD-10680</t>
  </si>
  <si>
    <t>Dorothy Martin</t>
  </si>
  <si>
    <t>ORD-10681</t>
  </si>
  <si>
    <t>Mary Davis</t>
  </si>
  <si>
    <t>ORD-10682</t>
  </si>
  <si>
    <t>Lisa Miller</t>
  </si>
  <si>
    <t>ORD-10683</t>
  </si>
  <si>
    <t>Mark Lewis</t>
  </si>
  <si>
    <t>ORD-10684</t>
  </si>
  <si>
    <t>Lisa Anderson</t>
  </si>
  <si>
    <t>ORD-10685</t>
  </si>
  <si>
    <t>Kimberly Clark</t>
  </si>
  <si>
    <t>ORD-10686</t>
  </si>
  <si>
    <t>ORD-10687</t>
  </si>
  <si>
    <t>ORD-10688</t>
  </si>
  <si>
    <t>Joseph Lewis</t>
  </si>
  <si>
    <t>ORD-10689</t>
  </si>
  <si>
    <t>Paul Hernandez</t>
  </si>
  <si>
    <t>ORD-10690</t>
  </si>
  <si>
    <t>ORD-10691</t>
  </si>
  <si>
    <t>Richard Jones</t>
  </si>
  <si>
    <t>ORD-10692</t>
  </si>
  <si>
    <t>Anthony Moore</t>
  </si>
  <si>
    <t>ORD-10693</t>
  </si>
  <si>
    <t>ORD-10694</t>
  </si>
  <si>
    <t>Joseph White</t>
  </si>
  <si>
    <t>ORD-10695</t>
  </si>
  <si>
    <t>Joshua White</t>
  </si>
  <si>
    <t>ORD-10696</t>
  </si>
  <si>
    <t>ORD-10697</t>
  </si>
  <si>
    <t>Andrew Lewis</t>
  </si>
  <si>
    <t>ORD-10698</t>
  </si>
  <si>
    <t>ORD-10699</t>
  </si>
  <si>
    <t>ORD-10700</t>
  </si>
  <si>
    <t>James Sanchez</t>
  </si>
  <si>
    <t>ORD-10701</t>
  </si>
  <si>
    <t>Steven Thompson</t>
  </si>
  <si>
    <t>ORD-10702</t>
  </si>
  <si>
    <t>ORD-10703</t>
  </si>
  <si>
    <t>Andrew Smith</t>
  </si>
  <si>
    <t>ORD-10704</t>
  </si>
  <si>
    <t>ORD-10705</t>
  </si>
  <si>
    <t>ORD-10706</t>
  </si>
  <si>
    <t>Nancy White</t>
  </si>
  <si>
    <t>ORD-10707</t>
  </si>
  <si>
    <t>Kevin Rodriguez</t>
  </si>
  <si>
    <t>ORD-10708</t>
  </si>
  <si>
    <t>Paul Taylor</t>
  </si>
  <si>
    <t>ORD-10709</t>
  </si>
  <si>
    <t>Michael Harris</t>
  </si>
  <si>
    <t>ORD-10710</t>
  </si>
  <si>
    <t>ORD-10711</t>
  </si>
  <si>
    <t>Sandra Hernandez</t>
  </si>
  <si>
    <t>ORD-10712</t>
  </si>
  <si>
    <t>Karen Taylor</t>
  </si>
  <si>
    <t>ORD-10713</t>
  </si>
  <si>
    <t>Donald Johnson</t>
  </si>
  <si>
    <t>ORD-10714</t>
  </si>
  <si>
    <t>ORD-10715</t>
  </si>
  <si>
    <t>Lisa Smith</t>
  </si>
  <si>
    <t>ORD-10716</t>
  </si>
  <si>
    <t>Kimberly Harris</t>
  </si>
  <si>
    <t>ORD-10717</t>
  </si>
  <si>
    <t>ORD-10718</t>
  </si>
  <si>
    <t>ORD-10719</t>
  </si>
  <si>
    <t>ORD-10720</t>
  </si>
  <si>
    <t>ORD-10721</t>
  </si>
  <si>
    <t>Mary Perez</t>
  </si>
  <si>
    <t>ORD-10722</t>
  </si>
  <si>
    <t>ORD-10723</t>
  </si>
  <si>
    <t>ORD-10724</t>
  </si>
  <si>
    <t>Linda Gonzalez</t>
  </si>
  <si>
    <t>ORD-10725</t>
  </si>
  <si>
    <t>Richard Rodriguez</t>
  </si>
  <si>
    <t>ORD-10726</t>
  </si>
  <si>
    <t>Michael Smith</t>
  </si>
  <si>
    <t>ORD-10727</t>
  </si>
  <si>
    <t>ORD-10728</t>
  </si>
  <si>
    <t>ORD-10729</t>
  </si>
  <si>
    <t>ORD-10730</t>
  </si>
  <si>
    <t>Kimberly Garcia</t>
  </si>
  <si>
    <t>ORD-10731</t>
  </si>
  <si>
    <t>Lisa Jones</t>
  </si>
  <si>
    <t>ORD-10732</t>
  </si>
  <si>
    <t>ORD-10733</t>
  </si>
  <si>
    <t>Dorothy Wilson</t>
  </si>
  <si>
    <t>ORD-10734</t>
  </si>
  <si>
    <t>ORD-10735</t>
  </si>
  <si>
    <t>Joshua Taylor</t>
  </si>
  <si>
    <t>ORD-10736</t>
  </si>
  <si>
    <t>ORD-10737</t>
  </si>
  <si>
    <t>ORD-10738</t>
  </si>
  <si>
    <t>Andrew Jackson</t>
  </si>
  <si>
    <t>ORD-10739</t>
  </si>
  <si>
    <t>Karen Gonzalez</t>
  </si>
  <si>
    <t>ORD-10740</t>
  </si>
  <si>
    <t>Donald Jones</t>
  </si>
  <si>
    <t>ORD-10741</t>
  </si>
  <si>
    <t>Betty Gonzalez</t>
  </si>
  <si>
    <t>ORD-10742</t>
  </si>
  <si>
    <t>Anthony Hernandez</t>
  </si>
  <si>
    <t>ORD-10743</t>
  </si>
  <si>
    <t>ORD-10744</t>
  </si>
  <si>
    <t>ORD-10745</t>
  </si>
  <si>
    <t>ORD-10746</t>
  </si>
  <si>
    <t>ORD-10747</t>
  </si>
  <si>
    <t>Michelle Clark</t>
  </si>
  <si>
    <t>ORD-10748</t>
  </si>
  <si>
    <t>Mary Lopez</t>
  </si>
  <si>
    <t>ORD-10749</t>
  </si>
  <si>
    <t>ORD-10750</t>
  </si>
  <si>
    <t>Thomas Anderson</t>
  </si>
  <si>
    <t>ORD-10751</t>
  </si>
  <si>
    <t>Dorothy Jones</t>
  </si>
  <si>
    <t>ORD-10752</t>
  </si>
  <si>
    <t>Elizabeth Smith</t>
  </si>
  <si>
    <t>ORD-10753</t>
  </si>
  <si>
    <t>ORD-10754</t>
  </si>
  <si>
    <t>ORD-10755</t>
  </si>
  <si>
    <t>ORD-10756</t>
  </si>
  <si>
    <t>ORD-10757</t>
  </si>
  <si>
    <t>ORD-10758</t>
  </si>
  <si>
    <t>Donna Martin</t>
  </si>
  <si>
    <t>ORD-10759</t>
  </si>
  <si>
    <t>Kevin Johnson</t>
  </si>
  <si>
    <t>ORD-10760</t>
  </si>
  <si>
    <t>ORD-10761</t>
  </si>
  <si>
    <t>Barbara Thompson</t>
  </si>
  <si>
    <t>ORD-10762</t>
  </si>
  <si>
    <t>ORD-10763</t>
  </si>
  <si>
    <t>ORD-10764</t>
  </si>
  <si>
    <t>Lisa Thompson</t>
  </si>
  <si>
    <t>ORD-10765</t>
  </si>
  <si>
    <t>Jennifer Perez</t>
  </si>
  <si>
    <t>ORD-10766</t>
  </si>
  <si>
    <t>Susan Robinson</t>
  </si>
  <si>
    <t>ORD-10767</t>
  </si>
  <si>
    <t>ORD-10768</t>
  </si>
  <si>
    <t>Barbara Clark</t>
  </si>
  <si>
    <t>ORD-10769</t>
  </si>
  <si>
    <t>Michelle White</t>
  </si>
  <si>
    <t>ORD-10770</t>
  </si>
  <si>
    <t>Jennifer Ramirez</t>
  </si>
  <si>
    <t>ORD-10771</t>
  </si>
  <si>
    <t>Steven Hernandez</t>
  </si>
  <si>
    <t>ORD-10772</t>
  </si>
  <si>
    <t>ORD-10773</t>
  </si>
  <si>
    <t>Emily Miller</t>
  </si>
  <si>
    <t>ORD-10774</t>
  </si>
  <si>
    <t>ORD-10775</t>
  </si>
  <si>
    <t>Steven Sanchez</t>
  </si>
  <si>
    <t>ORD-10776</t>
  </si>
  <si>
    <t>ORD-10777</t>
  </si>
  <si>
    <t>James Moore</t>
  </si>
  <si>
    <t>ORD-10778</t>
  </si>
  <si>
    <t>ORD-10779</t>
  </si>
  <si>
    <t>Linda Ramirez</t>
  </si>
  <si>
    <t>ORD-10780</t>
  </si>
  <si>
    <t>Jennifer Williams</t>
  </si>
  <si>
    <t>ORD-10781</t>
  </si>
  <si>
    <t>ORD-10782</t>
  </si>
  <si>
    <t>ORD-10783</t>
  </si>
  <si>
    <t>Donna Martinez</t>
  </si>
  <si>
    <t>ORD-10784</t>
  </si>
  <si>
    <t>ORD-10785</t>
  </si>
  <si>
    <t>ORD-10786</t>
  </si>
  <si>
    <t>Sandra White</t>
  </si>
  <si>
    <t>ORD-10787</t>
  </si>
  <si>
    <t>Sarah Lee</t>
  </si>
  <si>
    <t>ORD-10788</t>
  </si>
  <si>
    <t>Joseph Smith</t>
  </si>
  <si>
    <t>ORD-10789</t>
  </si>
  <si>
    <t>Christopher Jones</t>
  </si>
  <si>
    <t>ORD-10790</t>
  </si>
  <si>
    <t>Michelle Gonzalez</t>
  </si>
  <si>
    <t>ORD-10791</t>
  </si>
  <si>
    <t>ORD-10792</t>
  </si>
  <si>
    <t>Elizabeth Rodriguez</t>
  </si>
  <si>
    <t>ORD-10793</t>
  </si>
  <si>
    <t>Jessica Rodriguez</t>
  </si>
  <si>
    <t>ORD-10794</t>
  </si>
  <si>
    <t>Steven Miller</t>
  </si>
  <si>
    <t>ORD-10795</t>
  </si>
  <si>
    <t>Elizabeth Harris</t>
  </si>
  <si>
    <t>ORD-10796</t>
  </si>
  <si>
    <t>ORD-10797</t>
  </si>
  <si>
    <t>Nancy Taylor</t>
  </si>
  <si>
    <t>ORD-10798</t>
  </si>
  <si>
    <t>Paul Miller</t>
  </si>
  <si>
    <t>ORD-10799</t>
  </si>
  <si>
    <t>ORD-10800</t>
  </si>
  <si>
    <t>Linda Rodriguez</t>
  </si>
  <si>
    <t>ORD-10801</t>
  </si>
  <si>
    <t>Lisa Robinson</t>
  </si>
  <si>
    <t>ORD-10802</t>
  </si>
  <si>
    <t>Richard Clark</t>
  </si>
  <si>
    <t>ORD-10803</t>
  </si>
  <si>
    <t>Christopher Wilson</t>
  </si>
  <si>
    <t>ORD-10804</t>
  </si>
  <si>
    <t>ORD-10805</t>
  </si>
  <si>
    <t>Mark Harris</t>
  </si>
  <si>
    <t>ORD-10806</t>
  </si>
  <si>
    <t>Thomas Taylor</t>
  </si>
  <si>
    <t>ORD-10807</t>
  </si>
  <si>
    <t>ORD-10808</t>
  </si>
  <si>
    <t>ORD-10809</t>
  </si>
  <si>
    <t>ORD-10810</t>
  </si>
  <si>
    <t>ORD-10811</t>
  </si>
  <si>
    <t>ORD-10812</t>
  </si>
  <si>
    <t>Thomas Robinson</t>
  </si>
  <si>
    <t>ORD-10813</t>
  </si>
  <si>
    <t>ORD-10814</t>
  </si>
  <si>
    <t>Kenneth Wilson</t>
  </si>
  <si>
    <t>ORD-10815</t>
  </si>
  <si>
    <t>Kenneth Moore</t>
  </si>
  <si>
    <t>ORD-10816</t>
  </si>
  <si>
    <t>ORD-10817</t>
  </si>
  <si>
    <t>Barbara Jones</t>
  </si>
  <si>
    <t>ORD-10818</t>
  </si>
  <si>
    <t>ORD-10819</t>
  </si>
  <si>
    <t>ORD-10820</t>
  </si>
  <si>
    <t>Richard Lopez</t>
  </si>
  <si>
    <t>ORD-10821</t>
  </si>
  <si>
    <t>Mark Williams</t>
  </si>
  <si>
    <t>ORD-10822</t>
  </si>
  <si>
    <t>ORD-10823</t>
  </si>
  <si>
    <t>ORD-10824</t>
  </si>
  <si>
    <t>ORD-10825</t>
  </si>
  <si>
    <t>Sandra Miller</t>
  </si>
  <si>
    <t>ORD-10826</t>
  </si>
  <si>
    <t>William Miller</t>
  </si>
  <si>
    <t>ORD-10827</t>
  </si>
  <si>
    <t>ORD-10828</t>
  </si>
  <si>
    <t>ORD-10829</t>
  </si>
  <si>
    <t>Carol Thomas</t>
  </si>
  <si>
    <t>ORD-10830</t>
  </si>
  <si>
    <t>ORD-10831</t>
  </si>
  <si>
    <t>ORD-10832</t>
  </si>
  <si>
    <t>ORD-10833</t>
  </si>
  <si>
    <t>ORD-10834</t>
  </si>
  <si>
    <t>Linda Taylor</t>
  </si>
  <si>
    <t>ORD-10835</t>
  </si>
  <si>
    <t>ORD-10836</t>
  </si>
  <si>
    <t>ORD-10837</t>
  </si>
  <si>
    <t>ORD-10838</t>
  </si>
  <si>
    <t>ORD-10839</t>
  </si>
  <si>
    <t>Michael Robinson</t>
  </si>
  <si>
    <t>ORD-10840</t>
  </si>
  <si>
    <t>ORD-10841</t>
  </si>
  <si>
    <t>Donald Harris</t>
  </si>
  <si>
    <t>ORD-10842</t>
  </si>
  <si>
    <t>Matthew Wilson</t>
  </si>
  <si>
    <t>ORD-10843</t>
  </si>
  <si>
    <t>Carol Wilson</t>
  </si>
  <si>
    <t>ORD-10844</t>
  </si>
  <si>
    <t>ORD-10845</t>
  </si>
  <si>
    <t>Kenneth Williams</t>
  </si>
  <si>
    <t>ORD-10846</t>
  </si>
  <si>
    <t>ORD-10847</t>
  </si>
  <si>
    <t>ORD-10848</t>
  </si>
  <si>
    <t>Michelle Williams</t>
  </si>
  <si>
    <t>ORD-10849</t>
  </si>
  <si>
    <t>ORD-10850</t>
  </si>
  <si>
    <t>ORD-10851</t>
  </si>
  <si>
    <t>Kimberly Smith</t>
  </si>
  <si>
    <t>ORD-10852</t>
  </si>
  <si>
    <t>Linda Wilson</t>
  </si>
  <si>
    <t>ORD-10853</t>
  </si>
  <si>
    <t>Betty Rodriguez</t>
  </si>
  <si>
    <t>ORD-10854</t>
  </si>
  <si>
    <t>William Wilson</t>
  </si>
  <si>
    <t>ORD-10855</t>
  </si>
  <si>
    <t>Elizabeth Taylor</t>
  </si>
  <si>
    <t>ORD-10856</t>
  </si>
  <si>
    <t>Betty Sanchez</t>
  </si>
  <si>
    <t>ORD-10857</t>
  </si>
  <si>
    <t>Kenneth White</t>
  </si>
  <si>
    <t>ORD-10858</t>
  </si>
  <si>
    <t>Elizabeth Davis</t>
  </si>
  <si>
    <t>ORD-10859</t>
  </si>
  <si>
    <t>Kenneth Anderson</t>
  </si>
  <si>
    <t>ORD-10860</t>
  </si>
  <si>
    <t>ORD-10861</t>
  </si>
  <si>
    <t>ORD-10862</t>
  </si>
  <si>
    <t>Michael Martinez</t>
  </si>
  <si>
    <t>ORD-10863</t>
  </si>
  <si>
    <t>ORD-10864</t>
  </si>
  <si>
    <t>ORD-10865</t>
  </si>
  <si>
    <t>ORD-10866</t>
  </si>
  <si>
    <t>Karen Martinez</t>
  </si>
  <si>
    <t>ORD-10867</t>
  </si>
  <si>
    <t>Ashley Martin</t>
  </si>
  <si>
    <t>ORD-10868</t>
  </si>
  <si>
    <t>Jessica Smith</t>
  </si>
  <si>
    <t>ORD-10869</t>
  </si>
  <si>
    <t>ORD-10870</t>
  </si>
  <si>
    <t>ORD-10871</t>
  </si>
  <si>
    <t>ORD-10872</t>
  </si>
  <si>
    <t>Joseph Robinson</t>
  </si>
  <si>
    <t>ORD-10873</t>
  </si>
  <si>
    <t>David Davis</t>
  </si>
  <si>
    <t>ORD-10874</t>
  </si>
  <si>
    <t>ORD-10875</t>
  </si>
  <si>
    <t>Robert White</t>
  </si>
  <si>
    <t>ORD-10876</t>
  </si>
  <si>
    <t>ORD-10877</t>
  </si>
  <si>
    <t>Jessica Robinson</t>
  </si>
  <si>
    <t>ORD-10878</t>
  </si>
  <si>
    <t>ORD-10879</t>
  </si>
  <si>
    <t>ORD-10880</t>
  </si>
  <si>
    <t>ORD-10881</t>
  </si>
  <si>
    <t>Sarah Taylor</t>
  </si>
  <si>
    <t>ORD-10882</t>
  </si>
  <si>
    <t>ORD-10883</t>
  </si>
  <si>
    <t>Lisa Hernandez</t>
  </si>
  <si>
    <t>ORD-10884</t>
  </si>
  <si>
    <t>James Robinson</t>
  </si>
  <si>
    <t>ORD-10885</t>
  </si>
  <si>
    <t>Sarah Harris</t>
  </si>
  <si>
    <t>ORD-10886</t>
  </si>
  <si>
    <t>Robert Harris</t>
  </si>
  <si>
    <t>ORD-10887</t>
  </si>
  <si>
    <t>ORD-10888</t>
  </si>
  <si>
    <t>Jessica Jackson</t>
  </si>
  <si>
    <t>ORD-10889</t>
  </si>
  <si>
    <t>Michael Brown</t>
  </si>
  <si>
    <t>ORD-10890</t>
  </si>
  <si>
    <t>Andrew Ramirez</t>
  </si>
  <si>
    <t>ORD-10891</t>
  </si>
  <si>
    <t>Andrew Jones</t>
  </si>
  <si>
    <t>ORD-10892</t>
  </si>
  <si>
    <t>Robert Taylor</t>
  </si>
  <si>
    <t>ORD-10893</t>
  </si>
  <si>
    <t>ORD-10894</t>
  </si>
  <si>
    <t>ORD-10895</t>
  </si>
  <si>
    <t>ORD-10896</t>
  </si>
  <si>
    <t>ORD-10897</t>
  </si>
  <si>
    <t>ORD-10898</t>
  </si>
  <si>
    <t>Anthony Miller</t>
  </si>
  <si>
    <t>ORD-10899</t>
  </si>
  <si>
    <t>ORD-10900</t>
  </si>
  <si>
    <t>ORD-10901</t>
  </si>
  <si>
    <t>Mary Moore</t>
  </si>
  <si>
    <t>ORD-10902</t>
  </si>
  <si>
    <t>ORD-10903</t>
  </si>
  <si>
    <t>Susan Williams</t>
  </si>
  <si>
    <t>ORD-10904</t>
  </si>
  <si>
    <t>ORD-10905</t>
  </si>
  <si>
    <t>ORD-10906</t>
  </si>
  <si>
    <t>Robert Ramirez</t>
  </si>
  <si>
    <t>ORD-10907</t>
  </si>
  <si>
    <t>ORD-10908</t>
  </si>
  <si>
    <t>Carol Perez</t>
  </si>
  <si>
    <t>ORD-10909</t>
  </si>
  <si>
    <t>ORD-10910</t>
  </si>
  <si>
    <t>Lisa Thomas</t>
  </si>
  <si>
    <t>ORD-10911</t>
  </si>
  <si>
    <t>ORD-10912</t>
  </si>
  <si>
    <t>Joseph Ramirez</t>
  </si>
  <si>
    <t>ORD-10913</t>
  </si>
  <si>
    <t>Nancy Miller</t>
  </si>
  <si>
    <t>ORD-10914</t>
  </si>
  <si>
    <t>ORD-10915</t>
  </si>
  <si>
    <t>ORD-10916</t>
  </si>
  <si>
    <t>Carol Thompson</t>
  </si>
  <si>
    <t>ORD-10917</t>
  </si>
  <si>
    <t>ORD-10918</t>
  </si>
  <si>
    <t>ORD-10919</t>
  </si>
  <si>
    <t>Lisa Clark</t>
  </si>
  <si>
    <t>ORD-10920</t>
  </si>
  <si>
    <t>ORD-10921</t>
  </si>
  <si>
    <t>Richard Miller</t>
  </si>
  <si>
    <t>ORD-10922</t>
  </si>
  <si>
    <t>Paul Clark</t>
  </si>
  <si>
    <t>ORD-10923</t>
  </si>
  <si>
    <t>Andrew Martinez</t>
  </si>
  <si>
    <t>ORD-10924</t>
  </si>
  <si>
    <t>ORD-10925</t>
  </si>
  <si>
    <t>Joseph Garcia</t>
  </si>
  <si>
    <t>ORD-10926</t>
  </si>
  <si>
    <t>ORD-10927</t>
  </si>
  <si>
    <t>ORD-10928</t>
  </si>
  <si>
    <t>William Perez</t>
  </si>
  <si>
    <t>ORD-10929</t>
  </si>
  <si>
    <t>Joseph Martin</t>
  </si>
  <si>
    <t>ORD-10930</t>
  </si>
  <si>
    <t>ORD-10931</t>
  </si>
  <si>
    <t>ORD-10932</t>
  </si>
  <si>
    <t>David Sanchez</t>
  </si>
  <si>
    <t>ORD-10933</t>
  </si>
  <si>
    <t>ORD-10934</t>
  </si>
  <si>
    <t>Susan Thomas</t>
  </si>
  <si>
    <t>ORD-10935</t>
  </si>
  <si>
    <t>ORD-10936</t>
  </si>
  <si>
    <t>Richard Sanchez</t>
  </si>
  <si>
    <t>ORD-10937</t>
  </si>
  <si>
    <t>ORD-10938</t>
  </si>
  <si>
    <t>ORD-10939</t>
  </si>
  <si>
    <t>ORD-10940</t>
  </si>
  <si>
    <t>Thomas Ramirez</t>
  </si>
  <si>
    <t>ORD-10941</t>
  </si>
  <si>
    <t>Betty Brown</t>
  </si>
  <si>
    <t>ORD-10942</t>
  </si>
  <si>
    <t>ORD-10943</t>
  </si>
  <si>
    <t>David Thompson</t>
  </si>
  <si>
    <t>ORD-10944</t>
  </si>
  <si>
    <t>Robert Moore</t>
  </si>
  <si>
    <t>ORD-10945</t>
  </si>
  <si>
    <t>ORD-10946</t>
  </si>
  <si>
    <t>Andrew Lopez</t>
  </si>
  <si>
    <t>ORD-10947</t>
  </si>
  <si>
    <t>Thomas Thompson</t>
  </si>
  <si>
    <t>ORD-10948</t>
  </si>
  <si>
    <t>ORD-10949</t>
  </si>
  <si>
    <t>ORD-10950</t>
  </si>
  <si>
    <t>ORD-10951</t>
  </si>
  <si>
    <t>Sarah Robinson</t>
  </si>
  <si>
    <t>ORD-10952</t>
  </si>
  <si>
    <t>Nancy Jackson</t>
  </si>
  <si>
    <t>ORD-10953</t>
  </si>
  <si>
    <t>Kimberly Thompson</t>
  </si>
  <si>
    <t>ORD-10954</t>
  </si>
  <si>
    <t>ORD-10955</t>
  </si>
  <si>
    <t>Daniel White</t>
  </si>
  <si>
    <t>ORD-10956</t>
  </si>
  <si>
    <t>ORD-10957</t>
  </si>
  <si>
    <t>ORD-10958</t>
  </si>
  <si>
    <t>ORD-10959</t>
  </si>
  <si>
    <t>Robert Martinez</t>
  </si>
  <si>
    <t>ORD-10960</t>
  </si>
  <si>
    <t>James Lee</t>
  </si>
  <si>
    <t>ORD-10961</t>
  </si>
  <si>
    <t>ORD-10962</t>
  </si>
  <si>
    <t>Karen Johnson</t>
  </si>
  <si>
    <t>ORD-10963</t>
  </si>
  <si>
    <t>ORD-10964</t>
  </si>
  <si>
    <t>ORD-10965</t>
  </si>
  <si>
    <t>ORD-10966</t>
  </si>
  <si>
    <t>Matthew White</t>
  </si>
  <si>
    <t>ORD-10967</t>
  </si>
  <si>
    <t>ORD-10968</t>
  </si>
  <si>
    <t>ORD-10969</t>
  </si>
  <si>
    <t>ORD-10970</t>
  </si>
  <si>
    <t>ORD-10971</t>
  </si>
  <si>
    <t>Kenneth Robinson</t>
  </si>
  <si>
    <t>ORD-10972</t>
  </si>
  <si>
    <t>ORD-10973</t>
  </si>
  <si>
    <t>Matthew Lewis</t>
  </si>
  <si>
    <t>ORD-10974</t>
  </si>
  <si>
    <t>Kenneth Miller</t>
  </si>
  <si>
    <t>ORD-10975</t>
  </si>
  <si>
    <t>Donald Gonzalez</t>
  </si>
  <si>
    <t>ORD-10976</t>
  </si>
  <si>
    <t>Dorothy Lee</t>
  </si>
  <si>
    <t>ORD-10977</t>
  </si>
  <si>
    <t>ORD-10978</t>
  </si>
  <si>
    <t>ORD-10979</t>
  </si>
  <si>
    <t>ORD-10980</t>
  </si>
  <si>
    <t>ORD-10981</t>
  </si>
  <si>
    <t>Jennifer Taylor</t>
  </si>
  <si>
    <t>ORD-10982</t>
  </si>
  <si>
    <t>ORD-10983</t>
  </si>
  <si>
    <t>Kenneth Jackson</t>
  </si>
  <si>
    <t>ORD-10984</t>
  </si>
  <si>
    <t>ORD-10985</t>
  </si>
  <si>
    <t>ORD-10986</t>
  </si>
  <si>
    <t>Linda Lopez</t>
  </si>
  <si>
    <t>ORD-10987</t>
  </si>
  <si>
    <t>ORD-10988</t>
  </si>
  <si>
    <t>ORD-10989</t>
  </si>
  <si>
    <t>ORD-10990</t>
  </si>
  <si>
    <t>Daniel Hernandez</t>
  </si>
  <si>
    <t>ORD-10991</t>
  </si>
  <si>
    <t>Matthew Jackson</t>
  </si>
  <si>
    <t>ORD-10992</t>
  </si>
  <si>
    <t>ORD-10993</t>
  </si>
  <si>
    <t>ORD-10994</t>
  </si>
  <si>
    <t>ORD-10995</t>
  </si>
  <si>
    <t>ORD-10996</t>
  </si>
  <si>
    <t>ORD-10997</t>
  </si>
  <si>
    <t>Ashley Anderson</t>
  </si>
  <si>
    <t>ORD-10998</t>
  </si>
  <si>
    <t>ORD-10999</t>
  </si>
  <si>
    <t>Jennifer Lewis</t>
  </si>
  <si>
    <t>ORD-11000</t>
  </si>
  <si>
    <t>Status</t>
  </si>
  <si>
    <t>Check ID</t>
  </si>
  <si>
    <t>Data Quality Check</t>
  </si>
  <si>
    <t>Method Used</t>
  </si>
  <si>
    <t>Result / Observation</t>
  </si>
  <si>
    <t>Action Taken</t>
  </si>
  <si>
    <t>CL-01</t>
  </si>
  <si>
    <t>Missing Values</t>
  </si>
  <si>
    <r>
      <t xml:space="preserve">Excel filters and </t>
    </r>
    <r>
      <rPr>
        <sz val="10"/>
        <color theme="1"/>
        <rFont val="Arial Unicode MS"/>
        <family val="2"/>
      </rPr>
      <t>COUNTBLANK</t>
    </r>
  </si>
  <si>
    <t>No missing values found across all 12 columns</t>
  </si>
  <si>
    <t>No action required</t>
  </si>
  <si>
    <t>Completed</t>
  </si>
  <si>
    <t>CL-02</t>
  </si>
  <si>
    <t>Duplicate Order IDs</t>
  </si>
  <si>
    <t>CL-03</t>
  </si>
  <si>
    <t>Data Types</t>
  </si>
  <si>
    <t>CL-04</t>
  </si>
  <si>
    <t>Invalid Values</t>
  </si>
  <si>
    <t>CL-05</t>
  </si>
  <si>
    <t>Data Consistency</t>
  </si>
  <si>
    <t>CL-06</t>
  </si>
  <si>
    <t>Final Data Validation</t>
  </si>
  <si>
    <r>
      <t>COUNTA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UNIQUE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FILTER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ROWS</t>
    </r>
  </si>
  <si>
    <t>No duplicate Order IDs found</t>
  </si>
  <si>
    <t>Checked and adjusted Excel number formats; verified values are numeric</t>
  </si>
  <si>
    <t>Dates, quantities, currency values, and discount values are recognized correctly</t>
  </si>
  <si>
    <t>Applied appropriate date, number, and rupee currency formats</t>
  </si>
  <si>
    <t>Excel filters and numerical checks</t>
  </si>
  <si>
    <t>No invalid values found in the checked columns</t>
  </si>
  <si>
    <t>No changes required</t>
  </si>
  <si>
    <t>Sorted columns and reviewed unique values</t>
  </si>
  <si>
    <t>No inconsistent category, region, or shipping-mode values found</t>
  </si>
  <si>
    <t>Record count, blank Order ID check, and column verification</t>
  </si>
  <si>
    <t>Record count verified, no blank Order IDs found, and all 12 expected columns confirmed</t>
  </si>
  <si>
    <t>Year</t>
  </si>
  <si>
    <t>Month</t>
  </si>
  <si>
    <t>Month-Year</t>
  </si>
  <si>
    <t>Profit Margin</t>
  </si>
  <si>
    <t>Metric</t>
  </si>
  <si>
    <t>Value</t>
  </si>
  <si>
    <t>Total Profit</t>
  </si>
  <si>
    <t>Average Order Value</t>
  </si>
  <si>
    <t>Total No. of Orders</t>
  </si>
  <si>
    <t>Row Labels</t>
  </si>
  <si>
    <t>Grand Total</t>
  </si>
  <si>
    <t>Sum of Total Revenue</t>
  </si>
  <si>
    <t>Sum of Profit</t>
  </si>
  <si>
    <t>Month-Year Sort</t>
  </si>
  <si>
    <t>Month-Year Date.</t>
  </si>
  <si>
    <t>Sum of Quantity</t>
  </si>
  <si>
    <t>RETAIL SALES DASHBOARD</t>
  </si>
  <si>
    <t>Sales Performance Overview | 2024–2025</t>
  </si>
  <si>
    <t>TOTAL REVENUE</t>
  </si>
  <si>
    <t>TOTAL PROFIT</t>
  </si>
  <si>
    <t>TOTAL ORDERS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</si>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</sst>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0&quot;%&quot;"/>
    <numFmt numFmtId="166" formatCode="[$₹-4009]\ #,##0.00"/>
    <numFmt numFmtId="167" formatCode="mmm\-yyyy"/>
  </numFmts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CEAFB"/>
        <bgColor indexed="64"/>
      </patternFill>
    </fill>
    <fill>
      <patternFill patternType="solid">
        <fgColor rgb="FFDDEFE3"/>
        <bgColor indexed="64"/>
      </patternFill>
    </fill>
    <fill>
      <patternFill patternType="solid">
        <fgColor rgb="FFFFF0D6"/>
        <bgColor indexed="64"/>
      </patternFill>
    </fill>
    <fill>
      <patternFill patternType="solid">
        <fgColor rgb="FFE9DDF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1" fillId="2" borderId="3" xfId="0" applyNumberFormat="1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0" fillId="0" borderId="0" xfId="0" applyNumberFormat="1"/>
    <xf numFmtId="167" fontId="0" fillId="0" borderId="0" xfId="0" applyNumberFormat="1" applyAlignment="1">
      <alignment horizontal="left"/>
    </xf>
    <xf numFmtId="167" fontId="0" fillId="0" borderId="0" xfId="0" pivotButton="1" applyNumberFormat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6" fontId="6" fillId="5" borderId="0" xfId="0" applyNumberFormat="1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166" fontId="6" fillId="8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/>
    </xf>
    <xf numFmtId="166" fontId="6" fillId="9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</cellXfs>
  <cellStyles count="2">
    <cellStyle name="Normal" xfId="0" builtinId="0"/>
    <cellStyle name="Percent" xfId="1" builtinId="5"/>
  </cellStyles>
  <dxfs count="31">
    <dxf>
      <numFmt numFmtId="167" formatCode="mmm\-yyyy"/>
    </dxf>
    <dxf>
      <numFmt numFmtId="167" formatCode="mmm\-yyyy"/>
    </dxf>
    <dxf>
      <numFmt numFmtId="166" formatCode="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m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m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₹-4009]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[$₹-4009]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&quot;%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m/d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CEAFB"/>
      <color rgb="FFDDEFE3"/>
      <color rgb="FFFFF0D6"/>
      <color rgb="FFE9DDF8"/>
      <color rgb="FF4472C4"/>
      <color rgb="FF4BACC6"/>
      <color rgb="FF8064A2"/>
      <color rgb="FF70AD47"/>
      <color rgb="FFED7D31"/>
      <color rgb="FFD9E8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173650"/>
                </a:solidFill>
                <a:latin typeface="Arial Rounded MT Bold" panose="020F0704030504030204" pitchFamily="34" charset="0"/>
              </a:rPr>
              <a:t>Monthly Revenue</a:t>
            </a:r>
            <a:r>
              <a:rPr lang="en-US" sz="1600" b="1" baseline="0">
                <a:solidFill>
                  <a:srgbClr val="173650"/>
                </a:solidFill>
                <a:latin typeface="Arial Rounded MT Bold" panose="020F0704030504030204" pitchFamily="34" charset="0"/>
              </a:rPr>
              <a:t> </a:t>
            </a:r>
            <a:r>
              <a:rPr lang="en-US" sz="1600" b="1">
                <a:solidFill>
                  <a:srgbClr val="173650"/>
                </a:solidFill>
                <a:latin typeface="Arial Rounded MT Bold" panose="020F0704030504030204" pitchFamily="34" charset="0"/>
              </a:rPr>
              <a:t>Trend</a:t>
            </a:r>
          </a:p>
        </c:rich>
      </c:tx>
      <c:overlay val="0"/>
      <c:spPr>
        <a:solidFill>
          <a:srgbClr val="D9E8F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DCEAFB"/>
            </a:solidFill>
            <a:ln w="25400" cap="rnd">
              <a:noFill/>
              <a:prstDash val="solid"/>
              <a:miter lim="800000"/>
            </a:ln>
            <a:effectLst/>
          </c:spPr>
          <c:cat>
            <c:numRef>
              <c:f>'Monthly Chart Data'!$A$2:$A$25</c:f>
              <c:numCache>
                <c:formatCode>mmm\-yyyy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'Monthly Chart Data'!$B$2:$B$25</c:f>
              <c:numCache>
                <c:formatCode>[$₹-4009]\ #,##0.00</c:formatCode>
                <c:ptCount val="24"/>
                <c:pt idx="0">
                  <c:v>395327.23430000001</c:v>
                </c:pt>
                <c:pt idx="1">
                  <c:v>284633.79180000001</c:v>
                </c:pt>
                <c:pt idx="2">
                  <c:v>316307.39909999998</c:v>
                </c:pt>
                <c:pt idx="3">
                  <c:v>303069.60839999997</c:v>
                </c:pt>
                <c:pt idx="4">
                  <c:v>334969.38140000001</c:v>
                </c:pt>
                <c:pt idx="5">
                  <c:v>417542.5731000001</c:v>
                </c:pt>
                <c:pt idx="6">
                  <c:v>355063.11560000002</c:v>
                </c:pt>
                <c:pt idx="7">
                  <c:v>304482.43429999996</c:v>
                </c:pt>
                <c:pt idx="8">
                  <c:v>393209.41489999997</c:v>
                </c:pt>
                <c:pt idx="9">
                  <c:v>247710.11210000003</c:v>
                </c:pt>
                <c:pt idx="10">
                  <c:v>560127.2718999997</c:v>
                </c:pt>
                <c:pt idx="11">
                  <c:v>535103.3147000001</c:v>
                </c:pt>
                <c:pt idx="12">
                  <c:v>380529.94120000006</c:v>
                </c:pt>
                <c:pt idx="13">
                  <c:v>221648.06380000003</c:v>
                </c:pt>
                <c:pt idx="14">
                  <c:v>260216.41290000008</c:v>
                </c:pt>
                <c:pt idx="15">
                  <c:v>363747.31069999991</c:v>
                </c:pt>
                <c:pt idx="16">
                  <c:v>306972.1496</c:v>
                </c:pt>
                <c:pt idx="17">
                  <c:v>271397.89370000002</c:v>
                </c:pt>
                <c:pt idx="18">
                  <c:v>224259.85180000003</c:v>
                </c:pt>
                <c:pt idx="19">
                  <c:v>264475.70920000004</c:v>
                </c:pt>
                <c:pt idx="20">
                  <c:v>359976.30519999994</c:v>
                </c:pt>
                <c:pt idx="21">
                  <c:v>519208.31359999999</c:v>
                </c:pt>
                <c:pt idx="22">
                  <c:v>403150.29640000011</c:v>
                </c:pt>
                <c:pt idx="23">
                  <c:v>512745.08459999994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8-4779-B349-C53754C2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513359"/>
        <c:axId val="2052515759"/>
      </c:area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4472C4"/>
              </a:solidFill>
              <a:round/>
            </a:ln>
            <a:effectLst/>
          </c:spPr>
          <c:marker>
            <c:symbol val="none"/>
          </c:marker>
          <c:cat>
            <c:numRef>
              <c:f>'Monthly Chart Data'!$A$2:$A$25</c:f>
              <c:numCache>
                <c:formatCode>mmm\-yyyy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'Monthly Chart Data'!$B$2:$B$25</c:f>
              <c:numCache>
                <c:formatCode>[$₹-4009]\ #,##0.00</c:formatCode>
                <c:ptCount val="24"/>
                <c:pt idx="0">
                  <c:v>395327.23430000001</c:v>
                </c:pt>
                <c:pt idx="1">
                  <c:v>284633.79180000001</c:v>
                </c:pt>
                <c:pt idx="2">
                  <c:v>316307.39909999998</c:v>
                </c:pt>
                <c:pt idx="3">
                  <c:v>303069.60839999997</c:v>
                </c:pt>
                <c:pt idx="4">
                  <c:v>334969.38140000001</c:v>
                </c:pt>
                <c:pt idx="5">
                  <c:v>417542.5731000001</c:v>
                </c:pt>
                <c:pt idx="6">
                  <c:v>355063.11560000002</c:v>
                </c:pt>
                <c:pt idx="7">
                  <c:v>304482.43429999996</c:v>
                </c:pt>
                <c:pt idx="8">
                  <c:v>393209.41489999997</c:v>
                </c:pt>
                <c:pt idx="9">
                  <c:v>247710.11210000003</c:v>
                </c:pt>
                <c:pt idx="10">
                  <c:v>560127.2718999997</c:v>
                </c:pt>
                <c:pt idx="11">
                  <c:v>535103.3147000001</c:v>
                </c:pt>
                <c:pt idx="12">
                  <c:v>380529.94120000006</c:v>
                </c:pt>
                <c:pt idx="13">
                  <c:v>221648.06380000003</c:v>
                </c:pt>
                <c:pt idx="14">
                  <c:v>260216.41290000008</c:v>
                </c:pt>
                <c:pt idx="15">
                  <c:v>363747.31069999991</c:v>
                </c:pt>
                <c:pt idx="16">
                  <c:v>306972.1496</c:v>
                </c:pt>
                <c:pt idx="17">
                  <c:v>271397.89370000002</c:v>
                </c:pt>
                <c:pt idx="18">
                  <c:v>224259.85180000003</c:v>
                </c:pt>
                <c:pt idx="19">
                  <c:v>264475.70920000004</c:v>
                </c:pt>
                <c:pt idx="20">
                  <c:v>359976.30519999994</c:v>
                </c:pt>
                <c:pt idx="21">
                  <c:v>519208.31359999999</c:v>
                </c:pt>
                <c:pt idx="22">
                  <c:v>403150.29640000011</c:v>
                </c:pt>
                <c:pt idx="23">
                  <c:v>512745.08459999994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48-4779-B349-C53754C2A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513359"/>
        <c:axId val="2052515759"/>
      </c:lineChart>
      <c:dateAx>
        <c:axId val="2052513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15759"/>
        <c:crosses val="autoZero"/>
        <c:auto val="1"/>
        <c:lblOffset val="100"/>
        <c:baseTimeUnit val="months"/>
      </c:dateAx>
      <c:valAx>
        <c:axId val="2052515759"/>
        <c:scaling>
          <c:orientation val="minMax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Revenue (₹)</a:t>
                </a:r>
                <a:endParaRPr lang="en-US" sz="10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133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[e_commerce_order_dataset.xlsx]Regional Revenue!PivotTable1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3650"/>
                </a:solidFill>
                <a:latin typeface="Arial Rounded MT Bold" panose="020F0704030504030204" pitchFamily="34" charset="0"/>
              </a:rPr>
              <a:t>Revenue by Region</a:t>
            </a:r>
            <a:endParaRPr lang="en-US" sz="1600" b="1">
              <a:solidFill>
                <a:srgbClr val="173650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solidFill>
          <a:srgbClr val="D9E8F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/>
          </a:solidFill>
          <a:ln>
            <a:noFill/>
          </a:ln>
          <a:effectLst/>
        </c:spPr>
      </c:pivotFmt>
      <c:pivotFmt>
        <c:idx val="3"/>
        <c:spPr>
          <a:solidFill>
            <a:srgbClr val="70AD47"/>
          </a:solidFill>
          <a:ln>
            <a:noFill/>
          </a:ln>
          <a:effectLst/>
        </c:spPr>
      </c:pivotFmt>
      <c:pivotFmt>
        <c:idx val="4"/>
        <c:spPr>
          <a:solidFill>
            <a:srgbClr val="8064A2"/>
          </a:solidFill>
          <a:ln>
            <a:noFill/>
          </a:ln>
          <a:effectLst/>
        </c:spPr>
      </c:pivotFmt>
      <c:pivotFmt>
        <c:idx val="5"/>
        <c:spPr>
          <a:solidFill>
            <a:srgbClr val="4BACC6"/>
          </a:solidFill>
          <a:ln>
            <a:noFill/>
          </a:ln>
          <a:effectLst/>
        </c:spPr>
      </c:pivotFmt>
      <c:pivotFmt>
        <c:idx val="6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</c:pivotFmt>
      <c:pivotFmt>
        <c:idx val="8"/>
        <c:spPr>
          <a:solidFill>
            <a:srgbClr val="70AD47"/>
          </a:solidFill>
          <a:ln>
            <a:noFill/>
          </a:ln>
          <a:effectLst/>
        </c:spPr>
      </c:pivotFmt>
      <c:pivotFmt>
        <c:idx val="9"/>
        <c:spPr>
          <a:solidFill>
            <a:srgbClr val="8064A2"/>
          </a:solidFill>
          <a:ln>
            <a:noFill/>
          </a:ln>
          <a:effectLst/>
        </c:spPr>
      </c:pivotFmt>
      <c:pivotFmt>
        <c:idx val="10"/>
        <c:spPr>
          <a:solidFill>
            <a:srgbClr val="4BACC6"/>
          </a:solidFill>
          <a:ln>
            <a:noFill/>
          </a:ln>
          <a:effectLst/>
        </c:spPr>
      </c:pivotFmt>
      <c:pivotFmt>
        <c:idx val="11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₹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4472C4"/>
          </a:solidFill>
          <a:ln>
            <a:noFill/>
          </a:ln>
          <a:effectLst/>
        </c:spPr>
      </c:pivotFmt>
      <c:pivotFmt>
        <c:idx val="13"/>
        <c:spPr>
          <a:solidFill>
            <a:srgbClr val="70AD47"/>
          </a:solidFill>
          <a:ln>
            <a:noFill/>
          </a:ln>
          <a:effectLst/>
        </c:spPr>
      </c:pivotFmt>
      <c:pivotFmt>
        <c:idx val="14"/>
        <c:spPr>
          <a:solidFill>
            <a:srgbClr val="8064A2"/>
          </a:solidFill>
          <a:ln>
            <a:noFill/>
          </a:ln>
          <a:effectLst/>
        </c:spPr>
      </c:pivotFmt>
      <c:pivotFmt>
        <c:idx val="15"/>
        <c:spPr>
          <a:solidFill>
            <a:srgbClr val="4BACC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2C-4BF2-8E62-F90C7A45C2D4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2C-4BF2-8E62-F90C7A45C2D4}"/>
              </c:ext>
            </c:extLst>
          </c:dPt>
          <c:dPt>
            <c:idx val="3"/>
            <c:invertIfNegative val="0"/>
            <c:bubble3D val="0"/>
            <c:spPr>
              <a:solidFill>
                <a:srgbClr val="8064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F2C-4BF2-8E62-F90C7A45C2D4}"/>
              </c:ext>
            </c:extLst>
          </c:dPt>
          <c:dPt>
            <c:idx val="4"/>
            <c:invertIfNegative val="0"/>
            <c:bubble3D val="0"/>
            <c:spPr>
              <a:solidFill>
                <a:srgbClr val="4BA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2C-4BF2-8E62-F90C7A45C2D4}"/>
              </c:ext>
            </c:extLst>
          </c:dPt>
          <c:dLbls>
            <c:numFmt formatCode="\₹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Revenue'!$A$4:$A$9</c:f>
              <c:strCache>
                <c:ptCount val="5"/>
                <c:pt idx="0">
                  <c:v>North</c:v>
                </c:pt>
                <c:pt idx="1">
                  <c:v>Central</c:v>
                </c:pt>
                <c:pt idx="2">
                  <c:v>South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'Regional Revenue'!$B$4:$B$9</c:f>
              <c:numCache>
                <c:formatCode>[$₹-4009]\ #,##0.00</c:formatCode>
                <c:ptCount val="5"/>
                <c:pt idx="0">
                  <c:v>1873416.606399999</c:v>
                </c:pt>
                <c:pt idx="1">
                  <c:v>1781864.9202999994</c:v>
                </c:pt>
                <c:pt idx="2">
                  <c:v>1773856.3833999983</c:v>
                </c:pt>
                <c:pt idx="3">
                  <c:v>1669717.0146999997</c:v>
                </c:pt>
                <c:pt idx="4">
                  <c:v>1437018.0595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2C-4BF2-8E62-F90C7A45C2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988783"/>
        <c:axId val="122967183"/>
      </c:barChart>
      <c:catAx>
        <c:axId val="12298878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67183"/>
        <c:crosses val="autoZero"/>
        <c:auto val="1"/>
        <c:lblAlgn val="ctr"/>
        <c:lblOffset val="100"/>
        <c:noMultiLvlLbl val="0"/>
      </c:catAx>
      <c:valAx>
        <c:axId val="12296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Total Revenue (₹</a:t>
                </a:r>
                <a:r>
                  <a: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878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[e_commerce_order_dataset.xlsx]Category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173650"/>
                </a:solidFill>
                <a:latin typeface="Arial Rounded MT Bold" panose="020F0704030504030204" pitchFamily="34" charset="0"/>
              </a:rPr>
              <a:t>Profit by Product Category </a:t>
            </a:r>
          </a:p>
        </c:rich>
      </c:tx>
      <c:overlay val="0"/>
      <c:spPr>
        <a:solidFill>
          <a:srgbClr val="D9E8F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BACC6"/>
          </a:solidFill>
          <a:ln>
            <a:noFill/>
          </a:ln>
          <a:effectLst/>
        </c:spPr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70AD47"/>
          </a:solidFill>
          <a:ln>
            <a:noFill/>
          </a:ln>
          <a:effectLst/>
        </c:spPr>
      </c:pivotFmt>
      <c:pivotFmt>
        <c:idx val="4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D31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8064A2"/>
          </a:solidFill>
          <a:ln>
            <a:noFill/>
          </a:ln>
          <a:effectLst/>
        </c:spPr>
      </c:pivotFmt>
      <c:pivotFmt>
        <c:idx val="8"/>
        <c:spPr>
          <a:solidFill>
            <a:srgbClr val="4BACC6"/>
          </a:solidFill>
          <a:ln>
            <a:noFill/>
          </a:ln>
          <a:effectLst/>
        </c:spPr>
      </c:pivotFmt>
      <c:pivotFmt>
        <c:idx val="9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₹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7D31"/>
          </a:solidFill>
          <a:ln>
            <a:noFill/>
          </a:ln>
          <a:effectLst/>
        </c:spPr>
      </c:pivotFmt>
      <c:pivotFmt>
        <c:idx val="11"/>
        <c:spPr>
          <a:solidFill>
            <a:srgbClr val="70AD47"/>
          </a:solidFill>
          <a:ln>
            <a:noFill/>
          </a:ln>
          <a:effectLst/>
        </c:spPr>
      </c:pivotFmt>
      <c:pivotFmt>
        <c:idx val="12"/>
        <c:spPr>
          <a:solidFill>
            <a:srgbClr val="8064A2"/>
          </a:solidFill>
          <a:ln>
            <a:noFill/>
          </a:ln>
          <a:effectLst/>
        </c:spPr>
      </c:pivotFmt>
      <c:pivotFmt>
        <c:idx val="13"/>
        <c:spPr>
          <a:solidFill>
            <a:srgbClr val="4BACC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DC-4190-924C-20C6DA5C5C5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C-4190-924C-20C6DA5C5C50}"/>
              </c:ext>
            </c:extLst>
          </c:dPt>
          <c:dPt>
            <c:idx val="3"/>
            <c:invertIfNegative val="0"/>
            <c:bubble3D val="0"/>
            <c:spPr>
              <a:solidFill>
                <a:srgbClr val="8064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DC-4190-924C-20C6DA5C5C50}"/>
              </c:ext>
            </c:extLst>
          </c:dPt>
          <c:dPt>
            <c:idx val="4"/>
            <c:invertIfNegative val="0"/>
            <c:bubble3D val="0"/>
            <c:spPr>
              <a:solidFill>
                <a:srgbClr val="4BA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DC-4190-924C-20C6DA5C5C50}"/>
              </c:ext>
            </c:extLst>
          </c:dPt>
          <c:dLbls>
            <c:numFmt formatCode="\₹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Analysis'!$A$4:$A$9</c:f>
              <c:strCache>
                <c:ptCount val="5"/>
                <c:pt idx="0">
                  <c:v>Clothing</c:v>
                </c:pt>
                <c:pt idx="1">
                  <c:v>Beauty</c:v>
                </c:pt>
                <c:pt idx="2">
                  <c:v>Home</c:v>
                </c:pt>
                <c:pt idx="3">
                  <c:v>Electronics</c:v>
                </c:pt>
                <c:pt idx="4">
                  <c:v>Sports</c:v>
                </c:pt>
              </c:strCache>
            </c:strRef>
          </c:cat>
          <c:val>
            <c:numRef>
              <c:f>'Category Analysis'!$B$4:$B$9</c:f>
              <c:numCache>
                <c:formatCode>[$₹-4009]\ #,##0.00</c:formatCode>
                <c:ptCount val="5"/>
                <c:pt idx="0">
                  <c:v>761903.98199999984</c:v>
                </c:pt>
                <c:pt idx="1">
                  <c:v>647367.6152</c:v>
                </c:pt>
                <c:pt idx="2">
                  <c:v>471160.87739999982</c:v>
                </c:pt>
                <c:pt idx="3">
                  <c:v>433909.77790000004</c:v>
                </c:pt>
                <c:pt idx="4">
                  <c:v>349315.28940000013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DC-4190-924C-20C6DA5C5C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7498896"/>
        <c:axId val="1902269536"/>
      </c:barChart>
      <c:catAx>
        <c:axId val="193749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69536"/>
        <c:crosses val="autoZero"/>
        <c:auto val="1"/>
        <c:lblAlgn val="ctr"/>
        <c:lblOffset val="100"/>
        <c:noMultiLvlLbl val="0"/>
      </c:catAx>
      <c:valAx>
        <c:axId val="1902269536"/>
        <c:scaling>
          <c:orientation val="minMax"/>
          <c:min val="3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chemeClr val="tx1"/>
                    </a:solidFill>
                  </a:rPr>
                  <a:t>Total Profit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49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[e_commerce_order_dataset.xlsx]Shipping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3650"/>
                </a:solidFill>
                <a:latin typeface="Arial Rounded MT Bold" panose="020F0704030504030204" pitchFamily="34" charset="0"/>
              </a:rPr>
              <a:t>Revenue by Shipping Mode</a:t>
            </a:r>
            <a:endParaRPr lang="en-US" sz="1600" b="1">
              <a:solidFill>
                <a:srgbClr val="173650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solidFill>
          <a:srgbClr val="D9E8F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472C4"/>
          </a:solidFill>
          <a:ln>
            <a:noFill/>
          </a:ln>
          <a:effectLst/>
        </c:spPr>
      </c:pivotFmt>
      <c:pivotFmt>
        <c:idx val="6"/>
        <c:spPr>
          <a:solidFill>
            <a:srgbClr val="ED7D31"/>
          </a:solidFill>
          <a:ln>
            <a:noFill/>
          </a:ln>
          <a:effectLst/>
        </c:spPr>
      </c:pivotFmt>
      <c:pivotFmt>
        <c:idx val="7"/>
        <c:spPr>
          <a:solidFill>
            <a:srgbClr val="70AD47"/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\₹#,\k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4472C4"/>
          </a:solidFill>
          <a:ln>
            <a:noFill/>
          </a:ln>
          <a:effectLst/>
        </c:spPr>
      </c:pivotFmt>
      <c:pivotFmt>
        <c:idx val="10"/>
        <c:spPr>
          <a:solidFill>
            <a:srgbClr val="ED7D31"/>
          </a:solidFill>
          <a:ln>
            <a:noFill/>
          </a:ln>
          <a:effectLst/>
        </c:spPr>
      </c:pivotFmt>
      <c:pivotFmt>
        <c:idx val="11"/>
        <c:spPr>
          <a:solidFill>
            <a:srgbClr val="70AD47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'Shipping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F8-4188-89C1-7A3F6A528E09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5F8-4188-89C1-7A3F6A528E09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5F8-4188-89C1-7A3F6A528E09}"/>
              </c:ext>
            </c:extLst>
          </c:dPt>
          <c:dLbls>
            <c:numFmt formatCode="\₹#,\k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'Shipping Analysis'!$A$4:$A$7</c:f>
              <c:strCache>
                <c:ptCount val="3"/>
                <c:pt idx="0">
                  <c:v>Standard</c:v>
                </c:pt>
                <c:pt idx="1">
                  <c:v>Express</c:v>
                </c:pt>
                <c:pt idx="2">
                  <c:v>Same Day</c:v>
                </c:pt>
              </c:strCache>
            </c:strRef>
          </c:cat>
          <c:val>
            <c:numRef>
              <c:f>'Shipping Analysis'!$B$4:$B$7</c:f>
              <c:numCache>
                <c:formatCode>[$₹-4009]\ #,##0.00</c:formatCode>
                <c:ptCount val="3"/>
                <c:pt idx="0">
                  <c:v>4751413.9372000042</c:v>
                </c:pt>
                <c:pt idx="1">
                  <c:v>3017699.5998000014</c:v>
                </c:pt>
                <c:pt idx="2">
                  <c:v>766759.4473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F8-4188-89C1-7A3F6A528E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2517679"/>
        <c:axId val="2052511439"/>
      </c:barChart>
      <c:catAx>
        <c:axId val="205251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</a:rPr>
                  <a:t>Shipping Mode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11439"/>
        <c:crosses val="autoZero"/>
        <c:auto val="1"/>
        <c:lblAlgn val="ctr"/>
        <c:lblOffset val="100"/>
        <c:noMultiLvlLbl val="0"/>
      </c:catAx>
      <c:valAx>
        <c:axId val="2052511439"/>
        <c:scaling>
          <c:orientation val="minMax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</a:rPr>
                  <a:t>Total Revenue (₹)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51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[e_commerce_order_dataset.xlsx]Quantity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3650"/>
                </a:solidFill>
                <a:latin typeface="Arial Rounded MT Bold" panose="020F0704030504030204" pitchFamily="34" charset="0"/>
              </a:rPr>
              <a:t>Quantity Sold by Product Category</a:t>
            </a:r>
            <a:endParaRPr lang="en-US" sz="1600" b="1">
              <a:solidFill>
                <a:srgbClr val="173650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solidFill>
          <a:srgbClr val="D9E8F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>
            <a:noFill/>
          </a:ln>
          <a:effectLst/>
        </c:spPr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70AD47"/>
          </a:solidFill>
          <a:ln>
            <a:noFill/>
          </a:ln>
          <a:effectLst/>
        </c:spPr>
      </c:pivotFmt>
      <c:pivotFmt>
        <c:idx val="4"/>
        <c:spPr>
          <a:solidFill>
            <a:srgbClr val="8064A2"/>
          </a:solidFill>
          <a:ln>
            <a:noFill/>
          </a:ln>
          <a:effectLst/>
        </c:spPr>
      </c:pivotFmt>
      <c:pivotFmt>
        <c:idx val="5"/>
        <c:spPr>
          <a:solidFill>
            <a:srgbClr val="4BACC6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472C4"/>
          </a:solidFill>
          <a:ln>
            <a:noFill/>
          </a:ln>
          <a:effectLst/>
        </c:spPr>
      </c:pivotFmt>
      <c:pivotFmt>
        <c:idx val="8"/>
        <c:spPr>
          <a:solidFill>
            <a:srgbClr val="ED7D31"/>
          </a:solidFill>
          <a:ln>
            <a:noFill/>
          </a:ln>
          <a:effectLst/>
        </c:spPr>
      </c:pivotFmt>
      <c:pivotFmt>
        <c:idx val="9"/>
        <c:spPr>
          <a:solidFill>
            <a:srgbClr val="70AD47"/>
          </a:solidFill>
          <a:ln>
            <a:noFill/>
          </a:ln>
          <a:effectLst/>
        </c:spPr>
      </c:pivotFmt>
      <c:pivotFmt>
        <c:idx val="10"/>
        <c:spPr>
          <a:solidFill>
            <a:srgbClr val="8064A2"/>
          </a:solidFill>
          <a:ln>
            <a:noFill/>
          </a:ln>
          <a:effectLst/>
        </c:spPr>
      </c:pivotFmt>
      <c:pivotFmt>
        <c:idx val="11"/>
        <c:spPr>
          <a:solidFill>
            <a:srgbClr val="4BACC6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472C4"/>
          </a:solidFill>
          <a:ln>
            <a:noFill/>
          </a:ln>
          <a:effectLst/>
        </c:spPr>
      </c:pivotFmt>
      <c:pivotFmt>
        <c:idx val="14"/>
        <c:spPr>
          <a:solidFill>
            <a:srgbClr val="ED7D31"/>
          </a:solidFill>
          <a:ln>
            <a:noFill/>
          </a:ln>
          <a:effectLst/>
        </c:spPr>
      </c:pivotFmt>
      <c:pivotFmt>
        <c:idx val="15"/>
        <c:spPr>
          <a:solidFill>
            <a:srgbClr val="70AD47"/>
          </a:solidFill>
          <a:ln>
            <a:noFill/>
          </a:ln>
          <a:effectLst/>
        </c:spPr>
      </c:pivotFmt>
      <c:pivotFmt>
        <c:idx val="16"/>
        <c:spPr>
          <a:solidFill>
            <a:srgbClr val="8064A2"/>
          </a:solidFill>
          <a:ln>
            <a:noFill/>
          </a:ln>
          <a:effectLst/>
        </c:spPr>
      </c:pivotFmt>
      <c:pivotFmt>
        <c:idx val="17"/>
        <c:spPr>
          <a:solidFill>
            <a:srgbClr val="4BACC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D-48C6-A7A7-2D1444B45E46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1D-48C6-A7A7-2D1444B45E46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1D-48C6-A7A7-2D1444B45E46}"/>
              </c:ext>
            </c:extLst>
          </c:dPt>
          <c:dPt>
            <c:idx val="3"/>
            <c:invertIfNegative val="0"/>
            <c:bubble3D val="0"/>
            <c:spPr>
              <a:solidFill>
                <a:srgbClr val="8064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1D-48C6-A7A7-2D1444B45E46}"/>
              </c:ext>
            </c:extLst>
          </c:dPt>
          <c:dPt>
            <c:idx val="4"/>
            <c:invertIfNegative val="0"/>
            <c:bubble3D val="0"/>
            <c:spPr>
              <a:solidFill>
                <a:srgbClr val="4BA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1D-48C6-A7A7-2D1444B45E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Analysis'!$A$4:$A$9</c:f>
              <c:strCache>
                <c:ptCount val="5"/>
                <c:pt idx="0">
                  <c:v>Beauty</c:v>
                </c:pt>
                <c:pt idx="1">
                  <c:v>Sports</c:v>
                </c:pt>
                <c:pt idx="2">
                  <c:v>Home</c:v>
                </c:pt>
                <c:pt idx="3">
                  <c:v>Clothing</c:v>
                </c:pt>
                <c:pt idx="4">
                  <c:v>Electronics</c:v>
                </c:pt>
              </c:strCache>
            </c:strRef>
          </c:cat>
          <c:val>
            <c:numRef>
              <c:f>'Quantity Analysis'!$B$4:$B$9</c:f>
              <c:numCache>
                <c:formatCode>General</c:formatCode>
                <c:ptCount val="5"/>
                <c:pt idx="0">
                  <c:v>465</c:v>
                </c:pt>
                <c:pt idx="1">
                  <c:v>442</c:v>
                </c:pt>
                <c:pt idx="2">
                  <c:v>395</c:v>
                </c:pt>
                <c:pt idx="3">
                  <c:v>388</c:v>
                </c:pt>
                <c:pt idx="4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1D-48C6-A7A7-2D1444B45E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3013263"/>
        <c:axId val="122998863"/>
      </c:barChart>
      <c:catAx>
        <c:axId val="12301326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</a:rPr>
                  <a:t>Product Category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8863"/>
        <c:crosses val="autoZero"/>
        <c:auto val="1"/>
        <c:lblAlgn val="ctr"/>
        <c:lblOffset val="100"/>
        <c:noMultiLvlLbl val="0"/>
      </c:catAx>
      <c:valAx>
        <c:axId val="12299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</a:rPr>
                  <a:t>Quantity Sold (Units)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1326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[e_commerce_order_dataset.xlsx]Monthly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solidFill>
                  <a:srgbClr val="173650"/>
                </a:solidFill>
                <a:latin typeface="Arial Rounded MT Bold" panose="020F0704030504030204" pitchFamily="34" charset="0"/>
              </a:rPr>
              <a:t>Monthly Revenue Trend</a:t>
            </a:r>
            <a:endParaRPr lang="en-US" sz="1600" b="1">
              <a:solidFill>
                <a:srgbClr val="173650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solidFill>
          <a:srgbClr val="D9E8F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Revenue'!$A$4:$A$28</c:f>
              <c:strCache>
                <c:ptCount val="24"/>
                <c:pt idx="0">
                  <c:v>1/1/2024</c:v>
                </c:pt>
                <c:pt idx="1">
                  <c:v>2/1/2024</c:v>
                </c:pt>
                <c:pt idx="2">
                  <c:v>3/1/2024</c:v>
                </c:pt>
                <c:pt idx="3">
                  <c:v>4/1/2024</c:v>
                </c:pt>
                <c:pt idx="4">
                  <c:v>5/1/2024</c:v>
                </c:pt>
                <c:pt idx="5">
                  <c:v>6/1/2024</c:v>
                </c:pt>
                <c:pt idx="6">
                  <c:v>7/1/2024</c:v>
                </c:pt>
                <c:pt idx="7">
                  <c:v>8/1/2024</c:v>
                </c:pt>
                <c:pt idx="8">
                  <c:v>9/1/2024</c:v>
                </c:pt>
                <c:pt idx="9">
                  <c:v>10/1/2024</c:v>
                </c:pt>
                <c:pt idx="10">
                  <c:v>11/1/2024</c:v>
                </c:pt>
                <c:pt idx="11">
                  <c:v>12/1/2024</c:v>
                </c:pt>
                <c:pt idx="12">
                  <c:v>1/1/2025</c:v>
                </c:pt>
                <c:pt idx="13">
                  <c:v>2/1/2025</c:v>
                </c:pt>
                <c:pt idx="14">
                  <c:v>3/1/2025</c:v>
                </c:pt>
                <c:pt idx="15">
                  <c:v>4/1/2025</c:v>
                </c:pt>
                <c:pt idx="16">
                  <c:v>5/1/2025</c:v>
                </c:pt>
                <c:pt idx="17">
                  <c:v>6/1/2025</c:v>
                </c:pt>
                <c:pt idx="18">
                  <c:v>7/1/2025</c:v>
                </c:pt>
                <c:pt idx="19">
                  <c:v>8/1/2025</c:v>
                </c:pt>
                <c:pt idx="20">
                  <c:v>9/1/2025</c:v>
                </c:pt>
                <c:pt idx="21">
                  <c:v>10/1/2025</c:v>
                </c:pt>
                <c:pt idx="22">
                  <c:v>11/1/2025</c:v>
                </c:pt>
                <c:pt idx="23">
                  <c:v>12/1/2025</c:v>
                </c:pt>
              </c:strCache>
            </c:strRef>
          </c:cat>
          <c:val>
            <c:numRef>
              <c:f>'Monthly Revenue'!$B$4:$B$28</c:f>
              <c:numCache>
                <c:formatCode>[$₹-4009]\ #,##0.00</c:formatCode>
                <c:ptCount val="24"/>
                <c:pt idx="0">
                  <c:v>395327.23430000001</c:v>
                </c:pt>
                <c:pt idx="1">
                  <c:v>284633.79180000001</c:v>
                </c:pt>
                <c:pt idx="2">
                  <c:v>316307.39909999998</c:v>
                </c:pt>
                <c:pt idx="3">
                  <c:v>303069.60839999997</c:v>
                </c:pt>
                <c:pt idx="4">
                  <c:v>334969.38140000001</c:v>
                </c:pt>
                <c:pt idx="5">
                  <c:v>417542.5731000001</c:v>
                </c:pt>
                <c:pt idx="6">
                  <c:v>355063.11560000002</c:v>
                </c:pt>
                <c:pt idx="7">
                  <c:v>304482.43429999996</c:v>
                </c:pt>
                <c:pt idx="8">
                  <c:v>393209.41489999997</c:v>
                </c:pt>
                <c:pt idx="9">
                  <c:v>247710.11210000003</c:v>
                </c:pt>
                <c:pt idx="10">
                  <c:v>560127.2718999997</c:v>
                </c:pt>
                <c:pt idx="11">
                  <c:v>535103.3147000001</c:v>
                </c:pt>
                <c:pt idx="12">
                  <c:v>380529.94120000006</c:v>
                </c:pt>
                <c:pt idx="13">
                  <c:v>221648.06380000003</c:v>
                </c:pt>
                <c:pt idx="14">
                  <c:v>260216.41290000008</c:v>
                </c:pt>
                <c:pt idx="15">
                  <c:v>363747.31069999991</c:v>
                </c:pt>
                <c:pt idx="16">
                  <c:v>306972.1496</c:v>
                </c:pt>
                <c:pt idx="17">
                  <c:v>271397.89370000002</c:v>
                </c:pt>
                <c:pt idx="18">
                  <c:v>224259.85180000003</c:v>
                </c:pt>
                <c:pt idx="19">
                  <c:v>264475.70920000004</c:v>
                </c:pt>
                <c:pt idx="20">
                  <c:v>359976.30519999994</c:v>
                </c:pt>
                <c:pt idx="21">
                  <c:v>519208.31359999999</c:v>
                </c:pt>
                <c:pt idx="22">
                  <c:v>403150.29640000011</c:v>
                </c:pt>
                <c:pt idx="23">
                  <c:v>512745.08459999994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4E-4BAB-9080-BDA25C78F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114847"/>
        <c:axId val="1574115327"/>
      </c:lineChart>
      <c:catAx>
        <c:axId val="157411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baseline="0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Month</a:t>
                </a:r>
                <a:endParaRPr lang="en-US" sz="1100" b="1" baseline="0">
                  <a:solidFill>
                    <a:schemeClr val="tx1"/>
                  </a:solidFill>
                  <a:latin typeface="+mn-lt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15327"/>
        <c:crosses val="autoZero"/>
        <c:auto val="1"/>
        <c:lblAlgn val="ctr"/>
        <c:lblOffset val="100"/>
        <c:noMultiLvlLbl val="0"/>
      </c:catAx>
      <c:valAx>
        <c:axId val="157411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Total Revenue (₹)</a:t>
                </a:r>
                <a:endParaRPr lang="en-US" sz="1000" b="1" i="0" baseline="0">
                  <a:solidFill>
                    <a:schemeClr val="tx1"/>
                  </a:solidFill>
                  <a:latin typeface="+mn-lt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1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55564</xdr:rowOff>
    </xdr:from>
    <xdr:to>
      <xdr:col>14</xdr:col>
      <xdr:colOff>460057</xdr:colOff>
      <xdr:row>22</xdr:row>
      <xdr:rowOff>169864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E5A12-19E5-45BC-946E-A70F732817F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151381</xdr:colOff>
      <xdr:row>7</xdr:row>
      <xdr:rowOff>43656</xdr:rowOff>
    </xdr:from>
    <xdr:to>
      <xdr:col>26</xdr:col>
      <xdr:colOff>604294</xdr:colOff>
      <xdr:row>22</xdr:row>
      <xdr:rowOff>157956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606E8-1505-48C8-986E-9CA66018BB4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11338</xdr:colOff>
      <xdr:row>23</xdr:row>
      <xdr:rowOff>15875</xdr:rowOff>
    </xdr:from>
    <xdr:to>
      <xdr:col>7</xdr:col>
      <xdr:colOff>515687</xdr:colOff>
      <xdr:row>35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59ACA7-9034-4166-8B9B-042448A0B38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362288</xdr:colOff>
      <xdr:row>23</xdr:row>
      <xdr:rowOff>15872</xdr:rowOff>
    </xdr:from>
    <xdr:to>
      <xdr:col>17</xdr:col>
      <xdr:colOff>259418</xdr:colOff>
      <xdr:row>35</xdr:row>
      <xdr:rowOff>15872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B9C40F-6D0D-49E4-A1C4-315BE436FA2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106020</xdr:colOff>
      <xdr:row>22</xdr:row>
      <xdr:rowOff>186531</xdr:rowOff>
    </xdr:from>
    <xdr:to>
      <xdr:col>27</xdr:col>
      <xdr:colOff>3150</xdr:colOff>
      <xdr:row>34</xdr:row>
      <xdr:rowOff>186531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A04C50-BADB-4B98-B76E-3F13E4EE57B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296956</xdr:colOff>
      <xdr:row>5</xdr:row>
      <xdr:rowOff>1119</xdr:rowOff>
    </xdr:from>
    <xdr:to>
      <xdr:col>18</xdr:col>
      <xdr:colOff>414618</xdr:colOff>
      <xdr:row>27</xdr:row>
      <xdr:rowOff>56028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3AD5F-7118-299F-58C7-310F9968B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18.623955208335" createdVersion="8" refreshedVersion="8" minRefreshableVersion="3" recordCount="1000" xr:uid="{1849D87D-9C49-487E-A5EA-11A1C6DE971A}">
  <cacheSource type="worksheet">
    <worksheetSource name="Dataset"/>
  </cacheSource>
  <cacheFields count="21">
    <cacheField name="Order ID" numFmtId="0">
      <sharedItems/>
    </cacheField>
    <cacheField name="Order Date" numFmtId="0">
      <sharedItems containsSemiMixedTypes="0" containsNonDate="0" containsDate="1" containsString="0" minDate="2024-01-01T00:00:00" maxDate="2025-12-31T00:00:00" count="536">
        <d v="2024-07-03T00:00:00"/>
        <d v="2025-03-11T00:00:00"/>
        <d v="2024-12-06T00:00:00"/>
        <d v="2024-11-24T00:00:00"/>
        <d v="2024-01-14T00:00:00"/>
        <d v="2025-08-11T00:00:00"/>
        <d v="2024-06-14T00:00:00"/>
        <d v="2024-11-06T00:00:00"/>
        <d v="2024-12-23T00:00:00"/>
        <d v="2024-12-12T00:00:00"/>
        <d v="2025-11-03T00:00:00"/>
        <d v="2025-08-18T00:00:00"/>
        <d v="2025-04-15T00:00:00"/>
        <d v="2025-12-28T00:00:00"/>
        <d v="2024-11-23T00:00:00"/>
        <d v="2024-07-25T00:00:00"/>
        <d v="2025-03-06T00:00:00"/>
        <d v="2024-11-07T00:00:00"/>
        <d v="2024-04-28T00:00:00"/>
        <d v="2025-03-17T00:00:00"/>
        <d v="2024-03-07T00:00:00"/>
        <d v="2025-03-10T00:00:00"/>
        <d v="2024-10-18T00:00:00"/>
        <d v="2025-07-11T00:00:00"/>
        <d v="2025-10-14T00:00:00"/>
        <d v="2024-05-11T00:00:00"/>
        <d v="2025-01-07T00:00:00"/>
        <d v="2025-12-30T00:00:00"/>
        <d v="2024-09-16T00:00:00"/>
        <d v="2025-03-04T00:00:00"/>
        <d v="2024-10-20T00:00:00"/>
        <d v="2024-12-14T00:00:00"/>
        <d v="2024-08-07T00:00:00"/>
        <d v="2024-11-29T00:00:00"/>
        <d v="2024-09-04T00:00:00"/>
        <d v="2024-11-11T00:00:00"/>
        <d v="2025-10-08T00:00:00"/>
        <d v="2025-11-02T00:00:00"/>
        <d v="2024-09-06T00:00:00"/>
        <d v="2025-12-02T00:00:00"/>
        <d v="2024-05-01T00:00:00"/>
        <d v="2024-01-06T00:00:00"/>
        <d v="2024-12-02T00:00:00"/>
        <d v="2025-02-05T00:00:00"/>
        <d v="2025-06-28T00:00:00"/>
        <d v="2025-01-01T00:00:00"/>
        <d v="2025-09-06T00:00:00"/>
        <d v="2025-06-23T00:00:00"/>
        <d v="2024-07-02T00:00:00"/>
        <d v="2025-11-08T00:00:00"/>
        <d v="2025-01-12T00:00:00"/>
        <d v="2024-08-27T00:00:00"/>
        <d v="2025-11-13T00:00:00"/>
        <d v="2025-06-09T00:00:00"/>
        <d v="2025-05-25T00:00:00"/>
        <d v="2025-10-15T00:00:00"/>
        <d v="2024-11-02T00:00:00"/>
        <d v="2025-05-01T00:00:00"/>
        <d v="2025-11-26T00:00:00"/>
        <d v="2025-05-31T00:00:00"/>
        <d v="2024-06-18T00:00:00"/>
        <d v="2025-11-16T00:00:00"/>
        <d v="2024-03-08T00:00:00"/>
        <d v="2024-03-14T00:00:00"/>
        <d v="2024-12-21T00:00:00"/>
        <d v="2024-01-19T00:00:00"/>
        <d v="2024-10-24T00:00:00"/>
        <d v="2024-10-16T00:00:00"/>
        <d v="2025-03-15T00:00:00"/>
        <d v="2024-11-08T00:00:00"/>
        <d v="2025-03-02T00:00:00"/>
        <d v="2025-03-22T00:00:00"/>
        <d v="2025-09-07T00:00:00"/>
        <d v="2024-08-02T00:00:00"/>
        <d v="2025-10-19T00:00:00"/>
        <d v="2025-04-06T00:00:00"/>
        <d v="2025-10-12T00:00:00"/>
        <d v="2025-04-12T00:00:00"/>
        <d v="2025-12-15T00:00:00"/>
        <d v="2025-01-26T00:00:00"/>
        <d v="2025-09-23T00:00:00"/>
        <d v="2025-12-29T00:00:00"/>
        <d v="2024-05-12T00:00:00"/>
        <d v="2024-10-30T00:00:00"/>
        <d v="2024-11-14T00:00:00"/>
        <d v="2024-06-16T00:00:00"/>
        <d v="2025-07-13T00:00:00"/>
        <d v="2025-01-05T00:00:00"/>
        <d v="2024-03-17T00:00:00"/>
        <d v="2024-03-06T00:00:00"/>
        <d v="2025-03-20T00:00:00"/>
        <d v="2024-01-22T00:00:00"/>
        <d v="2024-07-07T00:00:00"/>
        <d v="2024-07-09T00:00:00"/>
        <d v="2024-04-10T00:00:00"/>
        <d v="2024-10-31T00:00:00"/>
        <d v="2025-07-21T00:00:00"/>
        <d v="2024-12-03T00:00:00"/>
        <d v="2024-12-15T00:00:00"/>
        <d v="2025-12-24T00:00:00"/>
        <d v="2025-12-11T00:00:00"/>
        <d v="2025-08-05T00:00:00"/>
        <d v="2024-07-14T00:00:00"/>
        <d v="2024-09-15T00:00:00"/>
        <d v="2024-09-30T00:00:00"/>
        <d v="2024-12-04T00:00:00"/>
        <d v="2025-04-08T00:00:00"/>
        <d v="2024-11-15T00:00:00"/>
        <d v="2024-08-12T00:00:00"/>
        <d v="2024-07-24T00:00:00"/>
        <d v="2025-09-02T00:00:00"/>
        <d v="2025-03-08T00:00:00"/>
        <d v="2025-05-14T00:00:00"/>
        <d v="2025-02-28T00:00:00"/>
        <d v="2024-01-07T00:00:00"/>
        <d v="2024-03-22T00:00:00"/>
        <d v="2025-12-07T00:00:00"/>
        <d v="2024-03-09T00:00:00"/>
        <d v="2024-03-10T00:00:00"/>
        <d v="2025-10-11T00:00:00"/>
        <d v="2024-04-27T00:00:00"/>
        <d v="2025-09-25T00:00:00"/>
        <d v="2025-03-18T00:00:00"/>
        <d v="2025-12-09T00:00:00"/>
        <d v="2024-03-16T00:00:00"/>
        <d v="2024-12-29T00:00:00"/>
        <d v="2024-12-18T00:00:00"/>
        <d v="2025-08-27T00:00:00"/>
        <d v="2025-02-02T00:00:00"/>
        <d v="2024-05-10T00:00:00"/>
        <d v="2024-09-27T00:00:00"/>
        <d v="2025-07-14T00:00:00"/>
        <d v="2024-03-26T00:00:00"/>
        <d v="2025-05-12T00:00:00"/>
        <d v="2025-10-29T00:00:00"/>
        <d v="2025-04-10T00:00:00"/>
        <d v="2024-02-05T00:00:00"/>
        <d v="2024-09-05T00:00:00"/>
        <d v="2025-07-22T00:00:00"/>
        <d v="2025-08-12T00:00:00"/>
        <d v="2024-03-29T00:00:00"/>
        <d v="2024-08-10T00:00:00"/>
        <d v="2024-01-18T00:00:00"/>
        <d v="2024-11-13T00:00:00"/>
        <d v="2024-06-08T00:00:00"/>
        <d v="2025-11-09T00:00:00"/>
        <d v="2025-11-05T00:00:00"/>
        <d v="2024-09-12T00:00:00"/>
        <d v="2025-10-21T00:00:00"/>
        <d v="2025-12-18T00:00:00"/>
        <d v="2025-12-13T00:00:00"/>
        <d v="2024-10-07T00:00:00"/>
        <d v="2024-09-25T00:00:00"/>
        <d v="2024-07-19T00:00:00"/>
        <d v="2024-02-03T00:00:00"/>
        <d v="2025-03-30T00:00:00"/>
        <d v="2024-12-24T00:00:00"/>
        <d v="2024-10-11T00:00:00"/>
        <d v="2024-11-10T00:00:00"/>
        <d v="2025-08-02T00:00:00"/>
        <d v="2025-09-08T00:00:00"/>
        <d v="2024-05-18T00:00:00"/>
        <d v="2024-01-09T00:00:00"/>
        <d v="2025-09-20T00:00:00"/>
        <d v="2025-02-23T00:00:00"/>
        <d v="2025-04-28T00:00:00"/>
        <d v="2024-04-20T00:00:00"/>
        <d v="2024-09-21T00:00:00"/>
        <d v="2025-09-17T00:00:00"/>
        <d v="2025-06-02T00:00:00"/>
        <d v="2024-11-09T00:00:00"/>
        <d v="2024-01-24T00:00:00"/>
        <d v="2025-11-11T00:00:00"/>
        <d v="2025-08-07T00:00:00"/>
        <d v="2025-08-04T00:00:00"/>
        <d v="2024-10-02T00:00:00"/>
        <d v="2025-07-30T00:00:00"/>
        <d v="2024-06-26T00:00:00"/>
        <d v="2025-07-16T00:00:00"/>
        <d v="2024-02-11T00:00:00"/>
        <d v="2024-10-23T00:00:00"/>
        <d v="2025-08-22T00:00:00"/>
        <d v="2025-01-13T00:00:00"/>
        <d v="2025-04-21T00:00:00"/>
        <d v="2025-11-23T00:00:00"/>
        <d v="2024-05-24T00:00:00"/>
        <d v="2024-08-25T00:00:00"/>
        <d v="2025-08-19T00:00:00"/>
        <d v="2024-04-15T00:00:00"/>
        <d v="2024-04-06T00:00:00"/>
        <d v="2024-01-10T00:00:00"/>
        <d v="2025-05-26T00:00:00"/>
        <d v="2024-12-27T00:00:00"/>
        <d v="2024-05-05T00:00:00"/>
        <d v="2024-05-29T00:00:00"/>
        <d v="2025-10-01T00:00:00"/>
        <d v="2024-06-07T00:00:00"/>
        <d v="2025-05-06T00:00:00"/>
        <d v="2025-02-11T00:00:00"/>
        <d v="2025-11-20T00:00:00"/>
        <d v="2024-05-20T00:00:00"/>
        <d v="2025-11-01T00:00:00"/>
        <d v="2025-11-07T00:00:00"/>
        <d v="2024-04-13T00:00:00"/>
        <d v="2024-02-23T00:00:00"/>
        <d v="2025-04-30T00:00:00"/>
        <d v="2024-05-23T00:00:00"/>
        <d v="2024-06-02T00:00:00"/>
        <d v="2024-06-11T00:00:00"/>
        <d v="2025-12-22T00:00:00"/>
        <d v="2025-10-26T00:00:00"/>
        <d v="2025-03-01T00:00:00"/>
        <d v="2025-06-10T00:00:00"/>
        <d v="2024-07-23T00:00:00"/>
        <d v="2025-07-08T00:00:00"/>
        <d v="2025-01-29T00:00:00"/>
        <d v="2024-02-07T00:00:00"/>
        <d v="2025-12-17T00:00:00"/>
        <d v="2024-06-17T00:00:00"/>
        <d v="2024-01-28T00:00:00"/>
        <d v="2024-04-14T00:00:00"/>
        <d v="2024-03-13T00:00:00"/>
        <d v="2024-09-23T00:00:00"/>
        <d v="2025-01-20T00:00:00"/>
        <d v="2025-02-20T00:00:00"/>
        <d v="2024-10-19T00:00:00"/>
        <d v="2025-08-13T00:00:00"/>
        <d v="2025-12-03T00:00:00"/>
        <d v="2025-09-16T00:00:00"/>
        <d v="2024-02-21T00:00:00"/>
        <d v="2025-02-19T00:00:00"/>
        <d v="2024-10-21T00:00:00"/>
        <d v="2024-11-30T00:00:00"/>
        <d v="2024-12-09T00:00:00"/>
        <d v="2025-02-21T00:00:00"/>
        <d v="2025-09-28T00:00:00"/>
        <d v="2025-06-22T00:00:00"/>
        <d v="2024-08-30T00:00:00"/>
        <d v="2025-03-31T00:00:00"/>
        <d v="2025-06-30T00:00:00"/>
        <d v="2025-03-14T00:00:00"/>
        <d v="2024-03-27T00:00:00"/>
        <d v="2024-11-04T00:00:00"/>
        <d v="2025-11-06T00:00:00"/>
        <d v="2025-02-24T00:00:00"/>
        <d v="2024-06-01T00:00:00"/>
        <d v="2025-09-03T00:00:00"/>
        <d v="2025-11-21T00:00:00"/>
        <d v="2024-03-19T00:00:00"/>
        <d v="2025-12-19T00:00:00"/>
        <d v="2024-12-10T00:00:00"/>
        <d v="2025-01-16T00:00:00"/>
        <d v="2025-05-27T00:00:00"/>
        <d v="2024-02-08T00:00:00"/>
        <d v="2025-04-07T00:00:00"/>
        <d v="2024-06-30T00:00:00"/>
        <d v="2025-01-17T00:00:00"/>
        <d v="2025-02-12T00:00:00"/>
        <d v="2025-04-14T00:00:00"/>
        <d v="2024-05-31T00:00:00"/>
        <d v="2024-04-29T00:00:00"/>
        <d v="2024-07-06T00:00:00"/>
        <d v="2024-07-27T00:00:00"/>
        <d v="2025-06-27T00:00:00"/>
        <d v="2024-08-14T00:00:00"/>
        <d v="2024-06-20T00:00:00"/>
        <d v="2024-03-12T00:00:00"/>
        <d v="2025-10-03T00:00:00"/>
        <d v="2025-12-21T00:00:00"/>
        <d v="2025-11-04T00:00:00"/>
        <d v="2024-11-25T00:00:00"/>
        <d v="2024-02-27T00:00:00"/>
        <d v="2025-04-03T00:00:00"/>
        <d v="2024-12-25T00:00:00"/>
        <d v="2024-03-25T00:00:00"/>
        <d v="2024-11-27T00:00:00"/>
        <d v="2025-02-16T00:00:00"/>
        <d v="2024-01-30T00:00:00"/>
        <d v="2024-09-14T00:00:00"/>
        <d v="2025-03-21T00:00:00"/>
        <d v="2024-11-18T00:00:00"/>
        <d v="2025-01-22T00:00:00"/>
        <d v="2024-05-02T00:00:00"/>
        <d v="2025-07-15T00:00:00"/>
        <d v="2025-10-10T00:00:00"/>
        <d v="2025-01-24T00:00:00"/>
        <d v="2024-05-17T00:00:00"/>
        <d v="2025-12-16T00:00:00"/>
        <d v="2024-05-30T00:00:00"/>
        <d v="2025-02-13T00:00:00"/>
        <d v="2024-11-12T00:00:00"/>
        <d v="2024-04-05T00:00:00"/>
        <d v="2025-01-03T00:00:00"/>
        <d v="2025-07-28T00:00:00"/>
        <d v="2024-10-05T00:00:00"/>
        <d v="2025-05-13T00:00:00"/>
        <d v="2024-09-24T00:00:00"/>
        <d v="2025-11-25T00:00:00"/>
        <d v="2025-10-06T00:00:00"/>
        <d v="2024-05-28T00:00:00"/>
        <d v="2024-06-05T00:00:00"/>
        <d v="2025-05-05T00:00:00"/>
        <d v="2024-02-16T00:00:00"/>
        <d v="2024-01-08T00:00:00"/>
        <d v="2024-11-28T00:00:00"/>
        <d v="2025-05-08T00:00:00"/>
        <d v="2025-08-23T00:00:00"/>
        <d v="2025-02-26T00:00:00"/>
        <d v="2025-10-31T00:00:00"/>
        <d v="2025-10-24T00:00:00"/>
        <d v="2024-04-12T00:00:00"/>
        <d v="2024-04-23T00:00:00"/>
        <d v="2025-07-27T00:00:00"/>
        <d v="2025-07-19T00:00:00"/>
        <d v="2024-12-01T00:00:00"/>
        <d v="2024-01-17T00:00:00"/>
        <d v="2024-10-25T00:00:00"/>
        <d v="2025-09-24T00:00:00"/>
        <d v="2025-10-02T00:00:00"/>
        <d v="2024-01-16T00:00:00"/>
        <d v="2024-07-30T00:00:00"/>
        <d v="2024-05-26T00:00:00"/>
        <d v="2024-04-18T00:00:00"/>
        <d v="2024-08-20T00:00:00"/>
        <d v="2024-12-11T00:00:00"/>
        <d v="2025-12-06T00:00:00"/>
        <d v="2024-04-08T00:00:00"/>
        <d v="2025-09-14T00:00:00"/>
        <d v="2025-09-13T00:00:00"/>
        <d v="2025-02-08T00:00:00"/>
        <d v="2025-10-18T00:00:00"/>
        <d v="2024-10-12T00:00:00"/>
        <d v="2025-03-26T00:00:00"/>
        <d v="2024-06-28T00:00:00"/>
        <d v="2025-10-07T00:00:00"/>
        <d v="2024-07-01T00:00:00"/>
        <d v="2025-04-04T00:00:00"/>
        <d v="2024-01-02T00:00:00"/>
        <d v="2024-01-01T00:00:00"/>
        <d v="2024-02-18T00:00:00"/>
        <d v="2024-02-29T00:00:00"/>
        <d v="2024-07-13T00:00:00"/>
        <d v="2024-01-25T00:00:00"/>
        <d v="2024-08-21T00:00:00"/>
        <d v="2024-07-31T00:00:00"/>
        <d v="2025-02-10T00:00:00"/>
        <d v="2025-01-09T00:00:00"/>
        <d v="2025-02-07T00:00:00"/>
        <d v="2024-08-22T00:00:00"/>
        <d v="2025-04-19T00:00:00"/>
        <d v="2025-09-19T00:00:00"/>
        <d v="2025-01-14T00:00:00"/>
        <d v="2025-04-20T00:00:00"/>
        <d v="2025-06-03T00:00:00"/>
        <d v="2024-05-06T00:00:00"/>
        <d v="2025-08-29T00:00:00"/>
        <d v="2024-08-26T00:00:00"/>
        <d v="2024-12-19T00:00:00"/>
        <d v="2025-10-23T00:00:00"/>
        <d v="2024-09-10T00:00:00"/>
        <d v="2024-06-23T00:00:00"/>
        <d v="2025-03-24T00:00:00"/>
        <d v="2025-12-05T00:00:00"/>
        <d v="2024-03-18T00:00:00"/>
        <d v="2025-05-20T00:00:00"/>
        <d v="2024-11-17T00:00:00"/>
        <d v="2024-09-20T00:00:00"/>
        <d v="2025-04-09T00:00:00"/>
        <d v="2024-02-22T00:00:00"/>
        <d v="2024-04-03T00:00:00"/>
        <d v="2024-12-22T00:00:00"/>
        <d v="2024-01-03T00:00:00"/>
        <d v="2024-01-11T00:00:00"/>
        <d v="2024-10-29T00:00:00"/>
        <d v="2025-03-09T00:00:00"/>
        <d v="2024-12-13T00:00:00"/>
        <d v="2025-08-09T00:00:00"/>
        <d v="2024-01-31T00:00:00"/>
        <d v="2025-05-28T00:00:00"/>
        <d v="2025-10-09T00:00:00"/>
        <d v="2025-11-15T00:00:00"/>
        <d v="2024-04-30T00:00:00"/>
        <d v="2024-08-06T00:00:00"/>
        <d v="2025-09-30T00:00:00"/>
        <d v="2025-09-11T00:00:00"/>
        <d v="2025-10-27T00:00:00"/>
        <d v="2025-10-17T00:00:00"/>
        <d v="2025-06-05T00:00:00"/>
        <d v="2025-10-13T00:00:00"/>
        <d v="2025-11-29T00:00:00"/>
        <d v="2025-05-10T00:00:00"/>
        <d v="2024-03-23T00:00:00"/>
        <d v="2024-01-04T00:00:00"/>
        <d v="2024-03-31T00:00:00"/>
        <d v="2024-07-18T00:00:00"/>
        <d v="2024-01-20T00:00:00"/>
        <d v="2025-01-10T00:00:00"/>
        <d v="2025-12-23T00:00:00"/>
        <d v="2024-05-04T00:00:00"/>
        <d v="2024-09-08T00:00:00"/>
        <d v="2024-04-02T00:00:00"/>
        <d v="2024-10-15T00:00:00"/>
        <d v="2025-08-21T00:00:00"/>
        <d v="2024-11-19T00:00:00"/>
        <d v="2024-01-21T00:00:00"/>
        <d v="2024-08-16T00:00:00"/>
        <d v="2024-08-01T00:00:00"/>
        <d v="2024-05-08T00:00:00"/>
        <d v="2025-04-11T00:00:00"/>
        <d v="2025-03-19T00:00:00"/>
        <d v="2024-08-23T00:00:00"/>
        <d v="2025-08-14T00:00:00"/>
        <d v="2024-10-03T00:00:00"/>
        <d v="2024-06-27T00:00:00"/>
        <d v="2025-07-25T00:00:00"/>
        <d v="2024-10-22T00:00:00"/>
        <d v="2024-02-17T00:00:00"/>
        <d v="2024-09-22T00:00:00"/>
        <d v="2025-06-19T00:00:00"/>
        <d v="2024-06-06T00:00:00"/>
        <d v="2025-01-08T00:00:00"/>
        <d v="2025-10-22T00:00:00"/>
        <d v="2024-12-08T00:00:00"/>
        <d v="2025-09-01T00:00:00"/>
        <d v="2025-09-05T00:00:00"/>
        <d v="2024-12-05T00:00:00"/>
        <d v="2025-02-17T00:00:00"/>
        <d v="2024-04-22T00:00:00"/>
        <d v="2024-07-08T00:00:00"/>
        <d v="2024-06-15T00:00:00"/>
        <d v="2025-02-06T00:00:00"/>
        <d v="2025-09-10T00:00:00"/>
        <d v="2025-09-04T00:00:00"/>
        <d v="2024-09-26T00:00:00"/>
        <d v="2024-08-03T00:00:00"/>
        <d v="2025-08-17T00:00:00"/>
        <d v="2025-05-19T00:00:00"/>
        <d v="2025-05-11T00:00:00"/>
        <d v="2024-07-26T00:00:00"/>
        <d v="2024-02-04T00:00:00"/>
        <d v="2024-03-28T00:00:00"/>
        <d v="2025-06-04T00:00:00"/>
        <d v="2024-07-29T00:00:00"/>
        <d v="2024-02-14T00:00:00"/>
        <d v="2025-06-16T00:00:00"/>
        <d v="2025-11-30T00:00:00"/>
        <d v="2025-04-16T00:00:00"/>
        <d v="2024-02-13T00:00:00"/>
        <d v="2025-06-12T00:00:00"/>
        <d v="2024-08-05T00:00:00"/>
        <d v="2025-12-01T00:00:00"/>
        <d v="2025-07-10T00:00:00"/>
        <d v="2024-06-12T00:00:00"/>
        <d v="2024-11-22T00:00:00"/>
        <d v="2024-11-16T00:00:00"/>
        <d v="2025-01-23T00:00:00"/>
        <d v="2024-11-20T00:00:00"/>
        <d v="2025-04-25T00:00:00"/>
        <d v="2025-10-30T00:00:00"/>
        <d v="2025-11-10T00:00:00"/>
        <d v="2024-02-28T00:00:00"/>
        <d v="2024-04-19T00:00:00"/>
        <d v="2025-08-10T00:00:00"/>
        <d v="2025-01-11T00:00:00"/>
        <d v="2024-05-15T00:00:00"/>
        <d v="2024-09-03T00:00:00"/>
        <d v="2025-07-17T00:00:00"/>
        <d v="2025-08-28T00:00:00"/>
        <d v="2025-08-30T00:00:00"/>
        <d v="2025-01-30T00:00:00"/>
        <d v="2024-03-15T00:00:00"/>
        <d v="2025-12-14T00:00:00"/>
        <d v="2024-10-04T00:00:00"/>
        <d v="2025-09-18T00:00:00"/>
        <d v="2025-06-11T00:00:00"/>
        <d v="2025-05-16T00:00:00"/>
        <d v="2024-08-15T00:00:00"/>
        <d v="2024-09-17T00:00:00"/>
        <d v="2024-02-26T00:00:00"/>
        <d v="2024-04-04T00:00:00"/>
        <d v="2024-10-01T00:00:00"/>
        <d v="2024-10-14T00:00:00"/>
        <d v="2025-02-25T00:00:00"/>
        <d v="2025-04-01T00:00:00"/>
        <d v="2025-04-29T00:00:00"/>
        <d v="2024-08-28T00:00:00"/>
        <d v="2024-10-08T00:00:00"/>
        <d v="2024-08-11T00:00:00"/>
        <d v="2025-07-26T00:00:00"/>
        <d v="2025-10-20T00:00:00"/>
        <d v="2025-05-24T00:00:00"/>
        <d v="2024-09-07T00:00:00"/>
        <d v="2024-12-17T00:00:00"/>
        <d v="2025-08-20T00:00:00"/>
        <d v="2024-03-30T00:00:00"/>
        <d v="2024-11-21T00:00:00"/>
        <d v="2025-06-17T00:00:00"/>
        <d v="2025-12-25T00:00:00"/>
        <d v="2024-08-31T00:00:00"/>
        <d v="2024-09-18T00:00:00"/>
        <d v="2024-04-07T00:00:00"/>
        <d v="2025-07-18T00:00:00"/>
        <d v="2024-02-19T00:00:00"/>
        <d v="2024-01-29T00:00:00"/>
        <d v="2024-09-09T00:00:00"/>
        <d v="2025-06-21T00:00:00"/>
        <d v="2025-04-24T00:00:00"/>
        <d v="2025-06-26T00:00:00"/>
        <d v="2024-06-13T00:00:00"/>
        <d v="2024-10-28T00:00:00"/>
        <d v="2024-01-05T00:00:00"/>
        <d v="2025-01-25T00:00:00"/>
        <d v="2025-02-22T00:00:00"/>
        <d v="2024-05-13T00:00:00"/>
        <d v="2025-09-15T00:00:00"/>
        <d v="2024-08-09T00:00:00"/>
        <d v="2024-06-04T00:00:00"/>
        <d v="2025-03-28T00:00:00"/>
        <d v="2025-03-05T00:00:00"/>
        <d v="2025-05-23T00:00:00"/>
        <d v="2024-05-22T00:00:00"/>
        <d v="2024-12-07T00:00:00"/>
        <d v="2024-04-09T00:00:00"/>
        <d v="2025-05-18T00:00:00"/>
        <d v="2024-09-11T00:00:00"/>
        <d v="2025-01-02T00:00:00"/>
        <d v="2024-10-09T00:00:00"/>
        <d v="2024-03-24T00:00:00"/>
        <d v="2025-04-18T00:00:00"/>
        <d v="2025-10-16T00:00:00"/>
        <d v="2025-01-31T00:00:00"/>
        <d v="2024-12-31T00:00:00"/>
        <d v="2025-07-29T00:00:00"/>
        <d v="2025-11-19T00:00:00"/>
        <d v="2024-07-04T00:00:00"/>
        <d v="2025-07-12T00:00:00"/>
      </sharedItems>
    </cacheField>
    <cacheField name="Customer Name" numFmtId="0">
      <sharedItems/>
    </cacheField>
    <cacheField name="Region" numFmtId="49">
      <sharedItems count="5">
        <s v="West"/>
        <s v="Central"/>
        <s v="North"/>
        <s v="East"/>
        <s v="South"/>
      </sharedItems>
    </cacheField>
    <cacheField name="Product Name" numFmtId="49">
      <sharedItems/>
    </cacheField>
    <cacheField name="Category" numFmtId="49">
      <sharedItems count="5">
        <s v="Electronics"/>
        <s v="Beauty"/>
        <s v="Home"/>
        <s v="Clothing"/>
        <s v="Sports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166">
      <sharedItems containsSemiMixedTypes="0" containsString="0" containsNumber="1" minValue="678.49709999999993" maxValue="14173.681399999999"/>
    </cacheField>
    <cacheField name="Discount %" numFmtId="165">
      <sharedItems containsSemiMixedTypes="0" containsString="0" containsNumber="1" containsInteger="1" minValue="0" maxValue="25"/>
    </cacheField>
    <cacheField name="Total Revenue" numFmtId="166">
      <sharedItems containsSemiMixedTypes="0" containsString="0" containsNumber="1" minValue="608.47089999999992" maxValue="58646.942499999997"/>
    </cacheField>
    <cacheField name="Profit" numFmtId="166">
      <sharedItems containsSemiMixedTypes="0" containsString="0" containsNumber="1" minValue="173.1729" maxValue="15767.250599999999"/>
    </cacheField>
    <cacheField name="Ship Mode" numFmtId="49">
      <sharedItems count="3">
        <s v="Standard"/>
        <s v="Express"/>
        <s v="Same Day"/>
      </sharedItems>
    </cacheField>
    <cacheField name="Year" numFmtId="0">
      <sharedItems containsSemiMixedTypes="0" containsString="0" containsNumber="1" containsInteger="1" minValue="2024" maxValue="2025"/>
    </cacheField>
    <cacheField name="Month" numFmtId="0">
      <sharedItems containsSemiMixedTypes="0" containsString="0" containsNumber="1" containsInteger="1" minValue="1" maxValue="12" count="12">
        <n v="7"/>
        <n v="3"/>
        <n v="12"/>
        <n v="11"/>
        <n v="1"/>
        <n v="8"/>
        <n v="6"/>
        <n v="4"/>
        <n v="10"/>
        <n v="5"/>
        <n v="9"/>
        <n v="2"/>
      </sharedItems>
    </cacheField>
    <cacheField name="Month-Year" numFmtId="167">
      <sharedItems containsSemiMixedTypes="0" containsNonDate="0" containsDate="1" containsString="0" minDate="2024-01-01T00:00:00" maxDate="2025-12-02T00:00:00" count="24">
        <d v="2024-07-01T00:00:00"/>
        <d v="2025-03-01T00:00:00"/>
        <d v="2024-12-01T00:00:00"/>
        <d v="2024-11-01T00:00:00"/>
        <d v="2024-01-01T00:00:00"/>
        <d v="2025-08-01T00:00:00"/>
        <d v="2024-06-01T00:00:00"/>
        <d v="2025-11-01T00:00:00"/>
        <d v="2025-04-01T00:00:00"/>
        <d v="2025-12-01T00:00:00"/>
        <d v="2024-04-01T00:00:00"/>
        <d v="2024-03-01T00:00:00"/>
        <d v="2024-10-01T00:00:00"/>
        <d v="2025-07-01T00:00:00"/>
        <d v="2025-10-01T00:00:00"/>
        <d v="2024-05-01T00:00:00"/>
        <d v="2025-01-01T00:00:00"/>
        <d v="2024-09-01T00:00:00"/>
        <d v="2024-08-01T00:00:00"/>
        <d v="2025-02-01T00:00:00"/>
        <d v="2025-06-01T00:00:00"/>
        <d v="2025-09-01T00:00:00"/>
        <d v="2025-05-01T00:00:00"/>
        <d v="2024-02-01T00:00:00"/>
      </sharedItems>
    </cacheField>
    <cacheField name="Profit Margin" numFmtId="10">
      <sharedItems containsSemiMixedTypes="0" containsString="0" containsNumber="1" minValue="8.0369891888216499E-2" maxValue="0.64991970635466845"/>
    </cacheField>
    <cacheField name="Month-Year Sort" numFmtId="0">
      <sharedItems containsSemiMixedTypes="0" containsString="0" containsNumber="1" containsInteger="1" minValue="202401" maxValue="202512" count="24">
        <n v="202407"/>
        <n v="202503"/>
        <n v="202412"/>
        <n v="202411"/>
        <n v="202401"/>
        <n v="202508"/>
        <n v="202406"/>
        <n v="202511"/>
        <n v="202504"/>
        <n v="202512"/>
        <n v="202404"/>
        <n v="202403"/>
        <n v="202410"/>
        <n v="202507"/>
        <n v="202510"/>
        <n v="202405"/>
        <n v="202501"/>
        <n v="202409"/>
        <n v="202408"/>
        <n v="202502"/>
        <n v="202506"/>
        <n v="202509"/>
        <n v="202505"/>
        <n v="202402"/>
      </sharedItems>
    </cacheField>
    <cacheField name="Month-Year Date." numFmtId="167">
      <sharedItems containsSemiMixedTypes="0" containsNonDate="0" containsDate="1" containsString="0" minDate="2024-01-01T00:00:00" maxDate="2025-12-02T00:00:00" count="24">
        <d v="2024-07-01T00:00:00"/>
        <d v="2025-03-01T00:00:00"/>
        <d v="2024-12-01T00:00:00"/>
        <d v="2024-11-01T00:00:00"/>
        <d v="2024-01-01T00:00:00"/>
        <d v="2025-08-01T00:00:00"/>
        <d v="2024-06-01T00:00:00"/>
        <d v="2025-11-01T00:00:00"/>
        <d v="2025-04-01T00:00:00"/>
        <d v="2025-12-01T00:00:00"/>
        <d v="2024-04-01T00:00:00"/>
        <d v="2024-03-01T00:00:00"/>
        <d v="2024-10-01T00:00:00"/>
        <d v="2025-07-01T00:00:00"/>
        <d v="2025-10-01T00:00:00"/>
        <d v="2024-05-01T00:00:00"/>
        <d v="2025-01-01T00:00:00"/>
        <d v="2024-09-01T00:00:00"/>
        <d v="2024-08-01T00:00:00"/>
        <d v="2025-02-01T00:00:00"/>
        <d v="2025-06-01T00:00:00"/>
        <d v="2025-09-01T00:00:00"/>
        <d v="2025-05-01T00:00:00"/>
        <d v="2024-02-01T00:00:00"/>
      </sharedItems>
      <fieldGroup par="20"/>
    </cacheField>
    <cacheField name="Months (Month-Year Date.)" numFmtId="0" databaseField="0">
      <fieldGroup base="17">
        <rangePr groupBy="months" startDate="2024-01-01T00:00:00" endDate="2025-12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5"/>
        </groupItems>
      </fieldGroup>
    </cacheField>
    <cacheField name="Quarters (Month-Year Date.)" numFmtId="0" databaseField="0">
      <fieldGroup base="17">
        <rangePr groupBy="quarters" startDate="2024-01-01T00:00:00" endDate="2025-12-02T00:00:00"/>
        <groupItems count="6">
          <s v="&lt;1/1/2024"/>
          <s v="Qtr1"/>
          <s v="Qtr2"/>
          <s v="Qtr3"/>
          <s v="Qtr4"/>
          <s v="&gt;12/2/2025"/>
        </groupItems>
      </fieldGroup>
    </cacheField>
    <cacheField name="Years (Month-Year Date.)" numFmtId="0" databaseField="0">
      <fieldGroup base="17">
        <rangePr groupBy="years" startDate="2024-01-01T00:00:00" endDate="2025-12-02T00:00:00"/>
        <groupItems count="4">
          <s v="&lt;1/1/2024"/>
          <s v="2024"/>
          <s v="2025"/>
          <s v="&gt;12/2/20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10001"/>
    <x v="0"/>
    <s v="Betty Miller"/>
    <x v="0"/>
    <s v="Portable Charger"/>
    <x v="0"/>
    <n v="1"/>
    <n v="12641.6217"/>
    <n v="25"/>
    <n v="9480.9796999999999"/>
    <n v="2133.9065000000001"/>
    <x v="0"/>
    <n v="2024"/>
    <x v="0"/>
    <x v="0"/>
    <n v="0.22507236251122867"/>
    <x v="0"/>
    <x v="0"/>
  </r>
  <r>
    <s v="ORD-10002"/>
    <x v="1"/>
    <s v="Linda Lewis"/>
    <x v="1"/>
    <s v="Eye Cream"/>
    <x v="1"/>
    <n v="1"/>
    <n v="2899.4631999999997"/>
    <n v="0"/>
    <n v="2899.4631999999997"/>
    <n v="1843.3924"/>
    <x v="1"/>
    <n v="2025"/>
    <x v="1"/>
    <x v="1"/>
    <n v="0.63577023498694518"/>
    <x v="1"/>
    <x v="1"/>
  </r>
  <r>
    <s v="ORD-10003"/>
    <x v="2"/>
    <s v="Robert Smith"/>
    <x v="2"/>
    <s v="Perfume Travel"/>
    <x v="1"/>
    <n v="2"/>
    <n v="2210.5567999999998"/>
    <n v="10"/>
    <n v="3979.1914999999995"/>
    <n v="2284.3681999999999"/>
    <x v="1"/>
    <n v="2024"/>
    <x v="2"/>
    <x v="2"/>
    <n v="0.57407847800237821"/>
    <x v="2"/>
    <x v="2"/>
  </r>
  <r>
    <s v="ORD-10004"/>
    <x v="3"/>
    <s v="Jennifer Garcia"/>
    <x v="2"/>
    <s v="Webcam HD"/>
    <x v="0"/>
    <n v="2"/>
    <n v="11789.9517"/>
    <n v="5"/>
    <n v="22400.813599999998"/>
    <n v="2613.6806000000001"/>
    <x v="0"/>
    <n v="2024"/>
    <x v="3"/>
    <x v="3"/>
    <n v="0.11667793173369384"/>
    <x v="3"/>
    <x v="3"/>
  </r>
  <r>
    <s v="ORD-10005"/>
    <x v="4"/>
    <s v="Jessica Clark"/>
    <x v="1"/>
    <s v="Keyboard Mechanical"/>
    <x v="0"/>
    <n v="2"/>
    <n v="6033.6088"/>
    <n v="0"/>
    <n v="12067.2176"/>
    <n v="1231.1362999999999"/>
    <x v="2"/>
    <n v="2024"/>
    <x v="4"/>
    <x v="4"/>
    <n v="0.10202321204516937"/>
    <x v="4"/>
    <x v="4"/>
  </r>
  <r>
    <s v="ORD-10006"/>
    <x v="5"/>
    <s v="Steven Martinez"/>
    <x v="3"/>
    <s v="Throw Blanket"/>
    <x v="2"/>
    <n v="1"/>
    <n v="4947.2564000000002"/>
    <n v="10"/>
    <n v="4452.3414999999995"/>
    <n v="1327.6588999999999"/>
    <x v="0"/>
    <n v="2025"/>
    <x v="5"/>
    <x v="5"/>
    <n v="0.29819341126461213"/>
    <x v="5"/>
    <x v="5"/>
  </r>
  <r>
    <s v="ORD-10007"/>
    <x v="6"/>
    <s v="Donna Harris"/>
    <x v="4"/>
    <s v="Body Lotion"/>
    <x v="1"/>
    <n v="1"/>
    <n v="1175.3045999999999"/>
    <n v="5"/>
    <n v="1116.634"/>
    <n v="628.34319999999991"/>
    <x v="2"/>
    <n v="2024"/>
    <x v="6"/>
    <x v="6"/>
    <n v="0.56271186440677956"/>
    <x v="6"/>
    <x v="6"/>
  </r>
  <r>
    <s v="ORD-10008"/>
    <x v="7"/>
    <s v="Ashley Gonzalez"/>
    <x v="3"/>
    <s v="Keyboard Mechanical"/>
    <x v="0"/>
    <n v="5"/>
    <n v="11729.388499999999"/>
    <n v="0"/>
    <n v="58646.942499999997"/>
    <n v="8546.0352999999996"/>
    <x v="0"/>
    <n v="2024"/>
    <x v="3"/>
    <x v="3"/>
    <n v="0.14572004840661557"/>
    <x v="3"/>
    <x v="3"/>
  </r>
  <r>
    <s v="ORD-10009"/>
    <x v="8"/>
    <s v="Emily Ramirez"/>
    <x v="3"/>
    <s v="Casual Sneakers"/>
    <x v="3"/>
    <n v="1"/>
    <n v="4284.8463999999994"/>
    <n v="0"/>
    <n v="4284.8463999999994"/>
    <n v="1979.6596"/>
    <x v="0"/>
    <n v="2024"/>
    <x v="2"/>
    <x v="2"/>
    <n v="0.46201413427561844"/>
    <x v="2"/>
    <x v="2"/>
  </r>
  <r>
    <s v="ORD-10010"/>
    <x v="9"/>
    <s v="Richard Moore"/>
    <x v="4"/>
    <s v="Cutting Board"/>
    <x v="2"/>
    <n v="1"/>
    <n v="3461.5653999999995"/>
    <n v="5"/>
    <n v="3288.3924999999999"/>
    <n v="1273.7198000000001"/>
    <x v="0"/>
    <n v="2024"/>
    <x v="2"/>
    <x v="2"/>
    <n v="0.38733812949640289"/>
    <x v="2"/>
    <x v="2"/>
  </r>
  <r>
    <s v="ORD-10011"/>
    <x v="10"/>
    <s v="Michelle Moore"/>
    <x v="1"/>
    <s v="USB-C Hub"/>
    <x v="0"/>
    <n v="2"/>
    <n v="8070.0463999999993"/>
    <n v="25"/>
    <n v="12105.069599999999"/>
    <n v="2984.6301999999996"/>
    <x v="1"/>
    <n v="2025"/>
    <x v="3"/>
    <x v="7"/>
    <n v="0.24656035021888678"/>
    <x v="7"/>
    <x v="7"/>
  </r>
  <r>
    <s v="ORD-10012"/>
    <x v="11"/>
    <s v="Anthony Lee"/>
    <x v="3"/>
    <s v="Yoga Pants"/>
    <x v="3"/>
    <n v="3"/>
    <n v="8318.9232999999986"/>
    <n v="0"/>
    <n v="24956.769899999999"/>
    <n v="11078.334099999998"/>
    <x v="0"/>
    <n v="2025"/>
    <x v="5"/>
    <x v="5"/>
    <n v="0.44390095931445034"/>
    <x v="5"/>
    <x v="5"/>
  </r>
  <r>
    <s v="ORD-10013"/>
    <x v="12"/>
    <s v="Daniel Davis"/>
    <x v="4"/>
    <s v="Scented Candle Set"/>
    <x v="2"/>
    <n v="3"/>
    <n v="5790.4096999999992"/>
    <n v="20"/>
    <n v="13897.361800000001"/>
    <n v="4832.7541000000001"/>
    <x v="0"/>
    <n v="2025"/>
    <x v="7"/>
    <x v="8"/>
    <n v="0.34774615279858367"/>
    <x v="8"/>
    <x v="8"/>
  </r>
  <r>
    <s v="ORD-10014"/>
    <x v="13"/>
    <s v="Carol Jackson"/>
    <x v="4"/>
    <s v="Smart Watch"/>
    <x v="0"/>
    <n v="2"/>
    <n v="4961.4508999999998"/>
    <n v="10"/>
    <n v="8930.2330999999995"/>
    <n v="751.36220000000003"/>
    <x v="2"/>
    <n v="2025"/>
    <x v="2"/>
    <x v="9"/>
    <n v="8.4136907915651163E-2"/>
    <x v="9"/>
    <x v="9"/>
  </r>
  <r>
    <s v="ORD-10015"/>
    <x v="14"/>
    <s v="Thomas Moore"/>
    <x v="2"/>
    <s v="Portable Charger"/>
    <x v="0"/>
    <n v="2"/>
    <n v="2747.1089000000002"/>
    <n v="0"/>
    <n v="5494.2178000000004"/>
    <n v="540.33730000000003"/>
    <x v="0"/>
    <n v="2024"/>
    <x v="3"/>
    <x v="3"/>
    <n v="9.8346538064071648E-2"/>
    <x v="3"/>
    <x v="3"/>
  </r>
  <r>
    <s v="ORD-10016"/>
    <x v="15"/>
    <s v="Karen Robinson"/>
    <x v="4"/>
    <s v="Desk Lamp"/>
    <x v="2"/>
    <n v="3"/>
    <n v="2799.1553999999996"/>
    <n v="20"/>
    <n v="6717.783699999999"/>
    <n v="2528.5135999999998"/>
    <x v="1"/>
    <n v="2024"/>
    <x v="0"/>
    <x v="0"/>
    <n v="0.37639104099168896"/>
    <x v="0"/>
    <x v="0"/>
  </r>
  <r>
    <s v="ORD-10017"/>
    <x v="16"/>
    <s v="Linda Davis"/>
    <x v="3"/>
    <s v="Yoga Pants"/>
    <x v="3"/>
    <n v="3"/>
    <n v="5990.0789999999997"/>
    <n v="15"/>
    <n v="15274.228299999999"/>
    <n v="5695.7796999999991"/>
    <x v="1"/>
    <n v="2025"/>
    <x v="1"/>
    <x v="1"/>
    <n v="0.37290130723003528"/>
    <x v="1"/>
    <x v="1"/>
  </r>
  <r>
    <s v="ORD-10018"/>
    <x v="17"/>
    <s v="Thomas Perez"/>
    <x v="2"/>
    <s v="Foam Roller"/>
    <x v="4"/>
    <n v="1"/>
    <n v="4705.9498999999996"/>
    <n v="25"/>
    <n v="3529.6989999999996"/>
    <n v="1091.0838999999999"/>
    <x v="1"/>
    <n v="2024"/>
    <x v="3"/>
    <x v="3"/>
    <n v="0.30911528150134049"/>
    <x v="3"/>
    <x v="3"/>
  </r>
  <r>
    <s v="ORD-10019"/>
    <x v="18"/>
    <s v="Matthew Lee"/>
    <x v="3"/>
    <s v="Scented Candle Set"/>
    <x v="2"/>
    <n v="3"/>
    <n v="2452.8096"/>
    <n v="5"/>
    <n v="6990.3181000000004"/>
    <n v="2759.4107999999997"/>
    <x v="1"/>
    <n v="2024"/>
    <x v="7"/>
    <x v="10"/>
    <n v="0.39474752944361707"/>
    <x v="10"/>
    <x v="10"/>
  </r>
  <r>
    <s v="ORD-10020"/>
    <x v="19"/>
    <s v="Lisa Moore"/>
    <x v="1"/>
    <s v="Bluetooth Speaker"/>
    <x v="0"/>
    <n v="3"/>
    <n v="13797.054"/>
    <n v="15"/>
    <n v="35182.487699999998"/>
    <n v="3525.9137999999998"/>
    <x v="0"/>
    <n v="2025"/>
    <x v="1"/>
    <x v="1"/>
    <n v="0.10021786492374728"/>
    <x v="1"/>
    <x v="1"/>
  </r>
  <r>
    <s v="ORD-10021"/>
    <x v="20"/>
    <s v="Michelle Jackson"/>
    <x v="2"/>
    <s v="Nail Polish Set"/>
    <x v="1"/>
    <n v="3"/>
    <n v="2473.6282000000001"/>
    <n v="15"/>
    <n v="6308.0357999999997"/>
    <n v="2898.5168999999996"/>
    <x v="0"/>
    <n v="2024"/>
    <x v="1"/>
    <x v="11"/>
    <n v="0.45949594959495949"/>
    <x v="11"/>
    <x v="11"/>
  </r>
  <r>
    <s v="ORD-10022"/>
    <x v="21"/>
    <s v="William Gonzalez"/>
    <x v="3"/>
    <s v="Foam Roller"/>
    <x v="4"/>
    <n v="1"/>
    <n v="1889.7610999999997"/>
    <n v="0"/>
    <n v="1889.7610999999997"/>
    <n v="591.4375"/>
    <x v="2"/>
    <n v="2025"/>
    <x v="1"/>
    <x v="1"/>
    <n v="0.31296945418127198"/>
    <x v="1"/>
    <x v="1"/>
  </r>
  <r>
    <s v="ORD-10023"/>
    <x v="22"/>
    <s v="Karen Brown"/>
    <x v="3"/>
    <s v="Sunscreen SPF50"/>
    <x v="1"/>
    <n v="2"/>
    <n v="3073.5823999999998"/>
    <n v="5"/>
    <n v="5839.6172999999999"/>
    <n v="3387.7539999999995"/>
    <x v="0"/>
    <n v="2024"/>
    <x v="8"/>
    <x v="12"/>
    <n v="0.58013287959812021"/>
    <x v="12"/>
    <x v="12"/>
  </r>
  <r>
    <s v="ORD-10024"/>
    <x v="23"/>
    <s v="Joshua Garcia"/>
    <x v="0"/>
    <s v="Athletic Socks"/>
    <x v="3"/>
    <n v="3"/>
    <n v="4700.2721000000001"/>
    <n v="0"/>
    <n v="14100.816299999999"/>
    <n v="6995.0495999999994"/>
    <x v="0"/>
    <n v="2025"/>
    <x v="0"/>
    <x v="13"/>
    <n v="0.49607408898731631"/>
    <x v="13"/>
    <x v="13"/>
  </r>
  <r>
    <s v="ORD-10025"/>
    <x v="24"/>
    <s v="Mary Lee"/>
    <x v="3"/>
    <s v="Jump Rope"/>
    <x v="4"/>
    <n v="1"/>
    <n v="4987.0010000000002"/>
    <n v="10"/>
    <n v="4488.3009000000002"/>
    <n v="727.7047"/>
    <x v="1"/>
    <n v="2025"/>
    <x v="8"/>
    <x v="14"/>
    <n v="0.16213367067257009"/>
    <x v="14"/>
    <x v="14"/>
  </r>
  <r>
    <s v="ORD-10026"/>
    <x v="25"/>
    <s v="Ashley Garcia"/>
    <x v="0"/>
    <s v="Nail Polish Set"/>
    <x v="1"/>
    <n v="2"/>
    <n v="2752.7866999999997"/>
    <n v="10"/>
    <n v="4954.8267999999998"/>
    <n v="2224.7512999999999"/>
    <x v="0"/>
    <n v="2024"/>
    <x v="9"/>
    <x v="15"/>
    <n v="0.44900687547746371"/>
    <x v="15"/>
    <x v="15"/>
  </r>
  <r>
    <s v="ORD-10027"/>
    <x v="26"/>
    <s v="Carol Davis"/>
    <x v="0"/>
    <s v="Eye Cream"/>
    <x v="1"/>
    <n v="1"/>
    <n v="4441.9321999999993"/>
    <n v="25"/>
    <n v="3331.9222999999997"/>
    <n v="1884.0833"/>
    <x v="1"/>
    <n v="2025"/>
    <x v="4"/>
    <x v="16"/>
    <n v="0.56546435671684181"/>
    <x v="16"/>
    <x v="16"/>
  </r>
  <r>
    <s v="ORD-10028"/>
    <x v="27"/>
    <s v="Jessica Miller"/>
    <x v="4"/>
    <s v="Scented Candle Set"/>
    <x v="2"/>
    <n v="1"/>
    <n v="5639.0016999999998"/>
    <n v="20"/>
    <n v="4511.0120999999999"/>
    <n v="1482.8520999999998"/>
    <x v="1"/>
    <n v="2025"/>
    <x v="2"/>
    <x v="9"/>
    <n v="0.32871827144954896"/>
    <x v="9"/>
    <x v="9"/>
  </r>
  <r>
    <s v="ORD-10029"/>
    <x v="3"/>
    <s v="Andrew Brown"/>
    <x v="3"/>
    <s v="Casual Sneakers"/>
    <x v="3"/>
    <n v="1"/>
    <n v="2980.8449999999998"/>
    <n v="0"/>
    <n v="2980.8449999999998"/>
    <n v="921.69619999999998"/>
    <x v="1"/>
    <n v="2024"/>
    <x v="3"/>
    <x v="3"/>
    <n v="0.30920634920634921"/>
    <x v="3"/>
    <x v="3"/>
  </r>
  <r>
    <s v="ORD-10030"/>
    <x v="28"/>
    <s v="Karen Harris"/>
    <x v="0"/>
    <s v="Pillow Set"/>
    <x v="2"/>
    <n v="1"/>
    <n v="4905.6192000000001"/>
    <n v="0"/>
    <n v="4905.6192000000001"/>
    <n v="1490.4224999999999"/>
    <x v="0"/>
    <n v="2024"/>
    <x v="10"/>
    <x v="17"/>
    <n v="0.30381944444444442"/>
    <x v="17"/>
    <x v="17"/>
  </r>
  <r>
    <s v="ORD-10031"/>
    <x v="9"/>
    <s v="Richard Robinson"/>
    <x v="2"/>
    <s v="Swim Goggles"/>
    <x v="4"/>
    <n v="2"/>
    <n v="4816.6669999999995"/>
    <n v="0"/>
    <n v="9633.3339999999989"/>
    <n v="2199.2012"/>
    <x v="1"/>
    <n v="2024"/>
    <x v="2"/>
    <x v="2"/>
    <n v="0.22829076620825151"/>
    <x v="2"/>
    <x v="2"/>
  </r>
  <r>
    <s v="ORD-10032"/>
    <x v="29"/>
    <s v="Nancy Martinez"/>
    <x v="1"/>
    <s v="Denim Jacket"/>
    <x v="3"/>
    <n v="3"/>
    <n v="7076.4313999999995"/>
    <n v="25"/>
    <n v="15922.443799999999"/>
    <n v="6990.3181000000004"/>
    <x v="1"/>
    <n v="2025"/>
    <x v="1"/>
    <x v="1"/>
    <n v="0.43902294068703202"/>
    <x v="1"/>
    <x v="1"/>
  </r>
  <r>
    <s v="ORD-10033"/>
    <x v="30"/>
    <s v="Thomas Clark"/>
    <x v="1"/>
    <s v="Jump Rope"/>
    <x v="4"/>
    <n v="2"/>
    <n v="1515.0263"/>
    <n v="0"/>
    <n v="3030.0526"/>
    <n v="484.50559999999996"/>
    <x v="1"/>
    <n v="2024"/>
    <x v="8"/>
    <x v="12"/>
    <n v="0.15990006246096189"/>
    <x v="12"/>
    <x v="12"/>
  </r>
  <r>
    <s v="ORD-10034"/>
    <x v="31"/>
    <s v="Dorothy Perez"/>
    <x v="3"/>
    <s v="Smart Watch"/>
    <x v="0"/>
    <n v="3"/>
    <n v="12421.133799999998"/>
    <n v="0"/>
    <n v="37263.401399999995"/>
    <n v="5409.0507999999991"/>
    <x v="2"/>
    <n v="2024"/>
    <x v="2"/>
    <x v="2"/>
    <n v="0.14515719437249225"/>
    <x v="2"/>
    <x v="2"/>
  </r>
  <r>
    <s v="ORD-10035"/>
    <x v="32"/>
    <s v="Susan Clark"/>
    <x v="4"/>
    <s v="Rain Jacket"/>
    <x v="3"/>
    <n v="1"/>
    <n v="1908.6871000000001"/>
    <n v="0"/>
    <n v="1908.6871000000001"/>
    <n v="992.66869999999994"/>
    <x v="0"/>
    <n v="2024"/>
    <x v="5"/>
    <x v="18"/>
    <n v="0.52007932573128401"/>
    <x v="18"/>
    <x v="18"/>
  </r>
  <r>
    <s v="ORD-10036"/>
    <x v="33"/>
    <s v="Kenneth Lopez"/>
    <x v="1"/>
    <s v="Portable Charger"/>
    <x v="0"/>
    <n v="2"/>
    <n v="4235.6387999999997"/>
    <n v="20"/>
    <n v="6777.4005999999999"/>
    <n v="888.57569999999998"/>
    <x v="2"/>
    <n v="2024"/>
    <x v="3"/>
    <x v="3"/>
    <n v="0.13110862887461602"/>
    <x v="3"/>
    <x v="3"/>
  </r>
  <r>
    <s v="ORD-10037"/>
    <x v="34"/>
    <s v="Michael Johnson"/>
    <x v="4"/>
    <s v="Keyboard Mechanical"/>
    <x v="0"/>
    <n v="3"/>
    <n v="9847.1977999999999"/>
    <n v="5"/>
    <n v="28064.419099999999"/>
    <n v="3401.9485"/>
    <x v="0"/>
    <n v="2024"/>
    <x v="10"/>
    <x v="17"/>
    <n v="0.12121927369592339"/>
    <x v="17"/>
    <x v="17"/>
  </r>
  <r>
    <s v="ORD-10038"/>
    <x v="35"/>
    <s v="William Williams"/>
    <x v="2"/>
    <s v="Desk Lamp"/>
    <x v="2"/>
    <n v="1"/>
    <n v="6686.5557999999992"/>
    <n v="0"/>
    <n v="6686.5557999999992"/>
    <n v="2642.0695999999998"/>
    <x v="1"/>
    <n v="2024"/>
    <x v="3"/>
    <x v="3"/>
    <n v="0.39513161619020665"/>
    <x v="3"/>
    <x v="3"/>
  </r>
  <r>
    <s v="ORD-10039"/>
    <x v="36"/>
    <s v="Andrew Davis"/>
    <x v="2"/>
    <s v="Smart Watch"/>
    <x v="0"/>
    <n v="2"/>
    <n v="10354.4146"/>
    <n v="5"/>
    <n v="19673.577000000001"/>
    <n v="2243.6772999999998"/>
    <x v="1"/>
    <n v="2025"/>
    <x v="8"/>
    <x v="14"/>
    <n v="0.11404521404521403"/>
    <x v="14"/>
    <x v="14"/>
  </r>
  <r>
    <s v="ORD-10040"/>
    <x v="37"/>
    <s v="Joseph Williams"/>
    <x v="2"/>
    <s v="Perfume Travel"/>
    <x v="1"/>
    <n v="2"/>
    <n v="3098.1862000000001"/>
    <n v="0"/>
    <n v="6196.3724000000002"/>
    <n v="3680.1606999999999"/>
    <x v="1"/>
    <n v="2025"/>
    <x v="3"/>
    <x v="7"/>
    <n v="0.5939218081857055"/>
    <x v="7"/>
    <x v="7"/>
  </r>
  <r>
    <s v="ORD-10041"/>
    <x v="38"/>
    <s v="Sandra Lopez"/>
    <x v="0"/>
    <s v="Keyboard Mechanical"/>
    <x v="0"/>
    <n v="2"/>
    <n v="6114.9906000000001"/>
    <n v="5"/>
    <n v="11618.671399999999"/>
    <n v="1620.0655999999999"/>
    <x v="1"/>
    <n v="2024"/>
    <x v="10"/>
    <x v="17"/>
    <n v="0.13943639029157842"/>
    <x v="17"/>
    <x v="17"/>
  </r>
  <r>
    <s v="ORD-10042"/>
    <x v="39"/>
    <s v="Thomas Thomas"/>
    <x v="0"/>
    <s v="Dumbbells 10lb"/>
    <x v="4"/>
    <n v="2"/>
    <n v="1470.5501999999999"/>
    <n v="0"/>
    <n v="2941.1003999999998"/>
    <n v="812.87169999999992"/>
    <x v="2"/>
    <n v="2025"/>
    <x v="2"/>
    <x v="9"/>
    <n v="0.27638352638352637"/>
    <x v="9"/>
    <x v="9"/>
  </r>
  <r>
    <s v="ORD-10043"/>
    <x v="40"/>
    <s v="Donna Jackson"/>
    <x v="2"/>
    <s v="Water Bottle"/>
    <x v="4"/>
    <n v="3"/>
    <n v="3406.68"/>
    <n v="0"/>
    <n v="10220.039999999999"/>
    <n v="2724.3977"/>
    <x v="2"/>
    <n v="2024"/>
    <x v="9"/>
    <x v="15"/>
    <n v="0.26657407407407407"/>
    <x v="15"/>
    <x v="15"/>
  </r>
  <r>
    <s v="ORD-10044"/>
    <x v="41"/>
    <s v="Michael Perez"/>
    <x v="3"/>
    <s v="Swim Goggles"/>
    <x v="4"/>
    <n v="1"/>
    <n v="4922.6526000000003"/>
    <n v="0"/>
    <n v="4922.6526000000003"/>
    <n v="1632.3674999999998"/>
    <x v="0"/>
    <n v="2024"/>
    <x v="4"/>
    <x v="4"/>
    <n v="0.33160322952710491"/>
    <x v="4"/>
    <x v="4"/>
  </r>
  <r>
    <s v="ORD-10045"/>
    <x v="42"/>
    <s v="Daniel Jones"/>
    <x v="1"/>
    <s v="Laptop Stand"/>
    <x v="0"/>
    <n v="3"/>
    <n v="13110.986500000001"/>
    <n v="25"/>
    <n v="29499.956200000001"/>
    <n v="3952.6950999999999"/>
    <x v="1"/>
    <n v="2024"/>
    <x v="2"/>
    <x v="2"/>
    <n v="0.1339898633476615"/>
    <x v="2"/>
    <x v="2"/>
  </r>
  <r>
    <s v="ORD-10046"/>
    <x v="43"/>
    <s v="Donna Robinson"/>
    <x v="2"/>
    <s v="Throw Blanket"/>
    <x v="2"/>
    <n v="2"/>
    <n v="2641.1232999999997"/>
    <n v="15"/>
    <n v="4490.1935000000003"/>
    <n v="956.70929999999987"/>
    <x v="1"/>
    <n v="2025"/>
    <x v="11"/>
    <x v="19"/>
    <n v="0.21306638566912536"/>
    <x v="19"/>
    <x v="19"/>
  </r>
  <r>
    <s v="ORD-10047"/>
    <x v="44"/>
    <s v="Dorothy Sanchez"/>
    <x v="2"/>
    <s v="Body Lotion"/>
    <x v="1"/>
    <n v="2"/>
    <n v="2881.4834999999998"/>
    <n v="0"/>
    <n v="5762.9669999999996"/>
    <n v="3636.6308999999997"/>
    <x v="1"/>
    <n v="2025"/>
    <x v="6"/>
    <x v="20"/>
    <n v="0.63103448275862062"/>
    <x v="20"/>
    <x v="20"/>
  </r>
  <r>
    <s v="ORD-10048"/>
    <x v="45"/>
    <s v="Thomas White"/>
    <x v="0"/>
    <s v="Mouse Wireless"/>
    <x v="0"/>
    <n v="1"/>
    <n v="5153.5497999999998"/>
    <n v="10"/>
    <n v="4637.8162999999995"/>
    <n v="790.16049999999996"/>
    <x v="0"/>
    <n v="2025"/>
    <x v="4"/>
    <x v="16"/>
    <n v="0.17037339318506428"/>
    <x v="16"/>
    <x v="16"/>
  </r>
  <r>
    <s v="ORD-10049"/>
    <x v="46"/>
    <s v="Jessica Jones"/>
    <x v="2"/>
    <s v="Blender"/>
    <x v="2"/>
    <n v="3"/>
    <n v="4179.8071"/>
    <n v="5"/>
    <n v="11912.024399999998"/>
    <n v="3452.1023999999998"/>
    <x v="0"/>
    <n v="2025"/>
    <x v="10"/>
    <x v="21"/>
    <n v="0.28979980934223071"/>
    <x v="21"/>
    <x v="21"/>
  </r>
  <r>
    <s v="ORD-10050"/>
    <x v="47"/>
    <s v="Ashley Wilson"/>
    <x v="0"/>
    <s v="Knife Set"/>
    <x v="2"/>
    <n v="4"/>
    <n v="7073.5924999999997"/>
    <n v="10"/>
    <n v="25464.933000000001"/>
    <n v="7792.7804999999989"/>
    <x v="0"/>
    <n v="2025"/>
    <x v="6"/>
    <x v="20"/>
    <n v="0.30602006688963207"/>
    <x v="20"/>
    <x v="20"/>
  </r>
  <r>
    <s v="ORD-10051"/>
    <x v="48"/>
    <s v="Elizabeth Martinez"/>
    <x v="3"/>
    <s v="Desk Lamp"/>
    <x v="2"/>
    <n v="1"/>
    <n v="6805.7896000000001"/>
    <n v="5"/>
    <n v="6465.1215999999995"/>
    <n v="1690.0917999999999"/>
    <x v="1"/>
    <n v="2024"/>
    <x v="0"/>
    <x v="0"/>
    <n v="0.26141686182669788"/>
    <x v="0"/>
    <x v="0"/>
  </r>
  <r>
    <s v="ORD-10052"/>
    <x v="49"/>
    <s v="Betty Harris"/>
    <x v="2"/>
    <s v="Nail Polish Set"/>
    <x v="1"/>
    <n v="5"/>
    <n v="3253.3794000000003"/>
    <n v="0"/>
    <n v="16266.896999999999"/>
    <n v="8739.0804999999982"/>
    <x v="0"/>
    <n v="2025"/>
    <x v="3"/>
    <x v="7"/>
    <n v="0.5372309482257126"/>
    <x v="7"/>
    <x v="7"/>
  </r>
  <r>
    <s v="ORD-10053"/>
    <x v="50"/>
    <s v="Matthew Jones"/>
    <x v="0"/>
    <s v="Dumbbells 10lb"/>
    <x v="4"/>
    <n v="2"/>
    <n v="5409.9970999999996"/>
    <n v="0"/>
    <n v="10819.994199999999"/>
    <n v="2986.5227999999997"/>
    <x v="1"/>
    <n v="2025"/>
    <x v="4"/>
    <x v="16"/>
    <n v="0.2760188910267623"/>
    <x v="16"/>
    <x v="16"/>
  </r>
  <r>
    <s v="ORD-10054"/>
    <x v="51"/>
    <s v="Anthony Ramirez"/>
    <x v="4"/>
    <s v="Nail Polish Set"/>
    <x v="1"/>
    <n v="1"/>
    <n v="2977.0598"/>
    <n v="0"/>
    <n v="2977.0598"/>
    <n v="1411.8796"/>
    <x v="1"/>
    <n v="2024"/>
    <x v="5"/>
    <x v="18"/>
    <n v="0.47425301970756517"/>
    <x v="18"/>
    <x v="18"/>
  </r>
  <r>
    <s v="ORD-10055"/>
    <x v="52"/>
    <s v="Donald Thomas"/>
    <x v="1"/>
    <s v="Keyboard Mechanical"/>
    <x v="0"/>
    <n v="1"/>
    <n v="12195.9144"/>
    <n v="0"/>
    <n v="12195.9144"/>
    <n v="2178.3825999999999"/>
    <x v="0"/>
    <n v="2025"/>
    <x v="3"/>
    <x v="7"/>
    <n v="0.17861576660459341"/>
    <x v="7"/>
    <x v="7"/>
  </r>
  <r>
    <s v="ORD-10056"/>
    <x v="53"/>
    <s v="Robert Garcia"/>
    <x v="3"/>
    <s v="Athletic Socks"/>
    <x v="3"/>
    <n v="2"/>
    <n v="8402.1977000000006"/>
    <n v="10"/>
    <n v="15123.766599999999"/>
    <n v="5156.3886999999995"/>
    <x v="1"/>
    <n v="2025"/>
    <x v="6"/>
    <x v="20"/>
    <n v="0.34094606432236263"/>
    <x v="20"/>
    <x v="20"/>
  </r>
  <r>
    <s v="ORD-10057"/>
    <x v="54"/>
    <s v="Donna Ramirez"/>
    <x v="4"/>
    <s v="Knife Set"/>
    <x v="2"/>
    <n v="1"/>
    <n v="3175.7828"/>
    <n v="25"/>
    <n v="2381.8371000000002"/>
    <n v="613.20240000000001"/>
    <x v="0"/>
    <n v="2025"/>
    <x v="9"/>
    <x v="22"/>
    <n v="0.25744934445768769"/>
    <x v="22"/>
    <x v="22"/>
  </r>
  <r>
    <s v="ORD-10058"/>
    <x v="55"/>
    <s v="Linda Perez"/>
    <x v="3"/>
    <s v="Sunscreen SPF50"/>
    <x v="1"/>
    <n v="2"/>
    <n v="833.69029999999998"/>
    <n v="10"/>
    <n v="1500.8317999999999"/>
    <n v="607.52459999999996"/>
    <x v="1"/>
    <n v="2025"/>
    <x v="8"/>
    <x v="14"/>
    <n v="0.4047919293820933"/>
    <x v="14"/>
    <x v="14"/>
  </r>
  <r>
    <s v="ORD-10059"/>
    <x v="56"/>
    <s v="Ashley Brown"/>
    <x v="4"/>
    <s v="Yoga Pants"/>
    <x v="3"/>
    <n v="1"/>
    <n v="2281.5292999999997"/>
    <n v="20"/>
    <n v="1825.4126999999999"/>
    <n v="615.09500000000003"/>
    <x v="0"/>
    <n v="2024"/>
    <x v="3"/>
    <x v="3"/>
    <n v="0.33696215655780198"/>
    <x v="3"/>
    <x v="3"/>
  </r>
  <r>
    <s v="ORD-10060"/>
    <x v="57"/>
    <s v="Kimberly Miller"/>
    <x v="1"/>
    <s v="Throw Blanket"/>
    <x v="2"/>
    <n v="1"/>
    <n v="6720.6225999999997"/>
    <n v="25"/>
    <n v="5040.9400999999998"/>
    <n v="1353.2090000000001"/>
    <x v="0"/>
    <n v="2025"/>
    <x v="9"/>
    <x v="22"/>
    <n v="0.26844377698516991"/>
    <x v="22"/>
    <x v="22"/>
  </r>
  <r>
    <s v="ORD-10061"/>
    <x v="58"/>
    <s v="Carol Lopez"/>
    <x v="4"/>
    <s v="Cotton T-Shirt"/>
    <x v="3"/>
    <n v="1"/>
    <n v="4123.0290999999997"/>
    <n v="0"/>
    <n v="4123.0290999999997"/>
    <n v="1913.4185999999997"/>
    <x v="0"/>
    <n v="2025"/>
    <x v="3"/>
    <x v="7"/>
    <n v="0.46408078953408305"/>
    <x v="7"/>
    <x v="7"/>
  </r>
  <r>
    <s v="ORD-10062"/>
    <x v="45"/>
    <s v="Sandra Martinez"/>
    <x v="2"/>
    <s v="Smart Watch"/>
    <x v="0"/>
    <n v="4"/>
    <n v="10391.320299999999"/>
    <n v="0"/>
    <n v="41565.281199999998"/>
    <n v="8986.0647999999983"/>
    <x v="0"/>
    <n v="2025"/>
    <x v="4"/>
    <x v="16"/>
    <n v="0.21619160367908202"/>
    <x v="16"/>
    <x v="16"/>
  </r>
  <r>
    <s v="ORD-10063"/>
    <x v="59"/>
    <s v="Carol Rodriguez"/>
    <x v="3"/>
    <s v="Sunscreen SPF50"/>
    <x v="1"/>
    <n v="2"/>
    <n v="1226.4048"/>
    <n v="20"/>
    <n v="1962.6261999999997"/>
    <n v="825.17359999999996"/>
    <x v="0"/>
    <n v="2025"/>
    <x v="9"/>
    <x v="22"/>
    <n v="0.42044358727097403"/>
    <x v="22"/>
    <x v="22"/>
  </r>
  <r>
    <s v="ORD-10064"/>
    <x v="60"/>
    <s v="Mark Smith"/>
    <x v="1"/>
    <s v="Cargo Shorts"/>
    <x v="3"/>
    <n v="2"/>
    <n v="2269.2273999999998"/>
    <n v="0"/>
    <n v="4538.4547999999995"/>
    <n v="1501.7780999999998"/>
    <x v="0"/>
    <n v="2024"/>
    <x v="6"/>
    <x v="6"/>
    <n v="0.33090075062552127"/>
    <x v="6"/>
    <x v="6"/>
  </r>
  <r>
    <s v="ORD-10065"/>
    <x v="61"/>
    <s v="William Ramirez"/>
    <x v="2"/>
    <s v="Resistance Bands"/>
    <x v="4"/>
    <n v="4"/>
    <n v="4660.5275000000001"/>
    <n v="0"/>
    <n v="18642.11"/>
    <n v="3068.8508999999999"/>
    <x v="1"/>
    <n v="2025"/>
    <x v="3"/>
    <x v="7"/>
    <n v="0.1646192893401015"/>
    <x v="7"/>
    <x v="7"/>
  </r>
  <r>
    <s v="ORD-10066"/>
    <x v="62"/>
    <s v="Ashley Martinez"/>
    <x v="4"/>
    <s v="Denim Jacket"/>
    <x v="3"/>
    <n v="1"/>
    <n v="2902.3020999999999"/>
    <n v="15"/>
    <n v="2467.0041000000001"/>
    <n v="1087.2987000000001"/>
    <x v="0"/>
    <n v="2024"/>
    <x v="1"/>
    <x v="11"/>
    <n v="0.44073647871116228"/>
    <x v="11"/>
    <x v="11"/>
  </r>
  <r>
    <s v="ORD-10067"/>
    <x v="63"/>
    <s v="Kimberly Jones"/>
    <x v="1"/>
    <s v="Perfume Travel"/>
    <x v="1"/>
    <n v="4"/>
    <n v="2938.2615000000001"/>
    <n v="5"/>
    <n v="11165.393699999999"/>
    <n v="5652.2498999999998"/>
    <x v="0"/>
    <n v="2024"/>
    <x v="1"/>
    <x v="11"/>
    <n v="0.50622934146961607"/>
    <x v="11"/>
    <x v="11"/>
  </r>
  <r>
    <s v="ORD-10068"/>
    <x v="64"/>
    <s v="Betty Garcia"/>
    <x v="2"/>
    <s v="Cotton T-Shirt"/>
    <x v="3"/>
    <n v="3"/>
    <n v="8253.6286"/>
    <n v="5"/>
    <n v="23523.125400000001"/>
    <n v="8123.9854999999989"/>
    <x v="0"/>
    <n v="2024"/>
    <x v="2"/>
    <x v="2"/>
    <n v="0.34536165419583226"/>
    <x v="2"/>
    <x v="2"/>
  </r>
  <r>
    <s v="ORD-10069"/>
    <x v="65"/>
    <s v="Andrew Hernandez"/>
    <x v="2"/>
    <s v="Cutting Board"/>
    <x v="2"/>
    <n v="1"/>
    <n v="7309.221199999999"/>
    <n v="0"/>
    <n v="7309.221199999999"/>
    <n v="1531.1134"/>
    <x v="0"/>
    <n v="2024"/>
    <x v="4"/>
    <x v="4"/>
    <n v="0.20947695494562404"/>
    <x v="4"/>
    <x v="4"/>
  </r>
  <r>
    <s v="ORD-10070"/>
    <x v="66"/>
    <s v="Richard Thomas"/>
    <x v="2"/>
    <s v="Perfume Travel"/>
    <x v="1"/>
    <n v="4"/>
    <n v="949.13889999999992"/>
    <n v="10"/>
    <n v="3417.0892999999996"/>
    <n v="2116.8730999999998"/>
    <x v="0"/>
    <n v="2024"/>
    <x v="8"/>
    <x v="12"/>
    <n v="0.61949598449183052"/>
    <x v="12"/>
    <x v="12"/>
  </r>
  <r>
    <s v="ORD-10071"/>
    <x v="67"/>
    <s v="Daniel Thomas"/>
    <x v="1"/>
    <s v="Sunscreen SPF50"/>
    <x v="1"/>
    <n v="2"/>
    <n v="1243.4382000000001"/>
    <n v="0"/>
    <n v="2486.8764000000001"/>
    <n v="1573.6968999999999"/>
    <x v="0"/>
    <n v="2024"/>
    <x v="8"/>
    <x v="12"/>
    <n v="0.63280060882800604"/>
    <x v="12"/>
    <x v="12"/>
  </r>
  <r>
    <s v="ORD-10072"/>
    <x v="68"/>
    <s v="Betty Wilson"/>
    <x v="2"/>
    <s v="Dumbbells 10lb"/>
    <x v="4"/>
    <n v="1"/>
    <n v="4634.0310999999992"/>
    <n v="10"/>
    <n v="4170.3441000000003"/>
    <n v="653.89329999999995"/>
    <x v="2"/>
    <n v="2025"/>
    <x v="1"/>
    <x v="1"/>
    <n v="0.15679600635352844"/>
    <x v="1"/>
    <x v="1"/>
  </r>
  <r>
    <s v="ORD-10073"/>
    <x v="69"/>
    <s v="Susan Jackson"/>
    <x v="3"/>
    <s v="Blender"/>
    <x v="2"/>
    <n v="2"/>
    <n v="2977.0598"/>
    <n v="5"/>
    <n v="5656.0351000000001"/>
    <n v="1734.5678999999998"/>
    <x v="0"/>
    <n v="2024"/>
    <x v="3"/>
    <x v="3"/>
    <n v="0.30667558976074949"/>
    <x v="3"/>
    <x v="3"/>
  </r>
  <r>
    <s v="ORD-10074"/>
    <x v="70"/>
    <s v="Emily Smith"/>
    <x v="3"/>
    <s v="Jump Rope"/>
    <x v="4"/>
    <n v="2"/>
    <n v="3466.2969000000003"/>
    <n v="5"/>
    <n v="6586.2479999999996"/>
    <n v="1813.1107999999999"/>
    <x v="0"/>
    <n v="2025"/>
    <x v="1"/>
    <x v="1"/>
    <n v="0.27528735632183909"/>
    <x v="1"/>
    <x v="1"/>
  </r>
  <r>
    <s v="ORD-10075"/>
    <x v="71"/>
    <s v="William Martinez"/>
    <x v="2"/>
    <s v="Face Moisturizer"/>
    <x v="1"/>
    <n v="2"/>
    <n v="2305.1867999999999"/>
    <n v="0"/>
    <n v="4610.3735999999999"/>
    <n v="2836.0610999999999"/>
    <x v="1"/>
    <n v="2025"/>
    <x v="1"/>
    <x v="1"/>
    <n v="0.61514778325123154"/>
    <x v="1"/>
    <x v="1"/>
  </r>
  <r>
    <s v="ORD-10076"/>
    <x v="52"/>
    <s v="Joshua Smith"/>
    <x v="2"/>
    <s v="Door Mat"/>
    <x v="2"/>
    <n v="1"/>
    <n v="2612.7342999999996"/>
    <n v="0"/>
    <n v="2612.7342999999996"/>
    <n v="967.11860000000001"/>
    <x v="0"/>
    <n v="2025"/>
    <x v="3"/>
    <x v="7"/>
    <n v="0.37015574067366902"/>
    <x v="7"/>
    <x v="7"/>
  </r>
  <r>
    <s v="ORD-10077"/>
    <x v="64"/>
    <s v="Richard Smith"/>
    <x v="2"/>
    <s v="Wool Sweater"/>
    <x v="3"/>
    <n v="2"/>
    <n v="3999.0637999999994"/>
    <n v="0"/>
    <n v="7998.1275999999989"/>
    <n v="4318.9132"/>
    <x v="1"/>
    <n v="2024"/>
    <x v="2"/>
    <x v="2"/>
    <n v="0.53999053478466641"/>
    <x v="2"/>
    <x v="2"/>
  </r>
  <r>
    <s v="ORD-10078"/>
    <x v="72"/>
    <s v="Karen Anderson"/>
    <x v="3"/>
    <s v="Resistance Bands"/>
    <x v="4"/>
    <n v="5"/>
    <n v="5534.9087"/>
    <n v="5"/>
    <n v="26291.052899999999"/>
    <n v="6532.3089"/>
    <x v="0"/>
    <n v="2025"/>
    <x v="10"/>
    <x v="21"/>
    <n v="0.24846128927761582"/>
    <x v="21"/>
    <x v="21"/>
  </r>
  <r>
    <s v="ORD-10079"/>
    <x v="73"/>
    <s v="Nancy Martinez"/>
    <x v="1"/>
    <s v="Foam Roller"/>
    <x v="4"/>
    <n v="2"/>
    <n v="5317.2596999999996"/>
    <n v="15"/>
    <n v="9039.0576000000001"/>
    <n v="2038.3301999999999"/>
    <x v="0"/>
    <n v="2024"/>
    <x v="5"/>
    <x v="18"/>
    <n v="0.22550251256281406"/>
    <x v="18"/>
    <x v="18"/>
  </r>
  <r>
    <s v="ORD-10080"/>
    <x v="74"/>
    <s v="Daniel Robinson"/>
    <x v="0"/>
    <s v="Knife Set"/>
    <x v="2"/>
    <n v="3"/>
    <n v="7389.6566999999995"/>
    <n v="0"/>
    <n v="22168.970099999999"/>
    <n v="8164.6763999999994"/>
    <x v="0"/>
    <n v="2025"/>
    <x v="8"/>
    <x v="14"/>
    <n v="0.36829299526187731"/>
    <x v="14"/>
    <x v="14"/>
  </r>
  <r>
    <s v="ORD-10081"/>
    <x v="75"/>
    <s v="Elizabeth Anderson"/>
    <x v="4"/>
    <s v="Hair Oil"/>
    <x v="1"/>
    <n v="2"/>
    <n v="3988.6544999999996"/>
    <n v="15"/>
    <n v="6781.1857999999993"/>
    <n v="2938.2615000000001"/>
    <x v="0"/>
    <n v="2025"/>
    <x v="7"/>
    <x v="8"/>
    <n v="0.43329612056935535"/>
    <x v="8"/>
    <x v="8"/>
  </r>
  <r>
    <s v="ORD-10082"/>
    <x v="76"/>
    <s v="Steven Harris"/>
    <x v="1"/>
    <s v="Wool Sweater"/>
    <x v="3"/>
    <n v="2"/>
    <n v="2554.0636999999997"/>
    <n v="0"/>
    <n v="5108.1273999999994"/>
    <n v="1679.6824999999999"/>
    <x v="0"/>
    <n v="2025"/>
    <x v="8"/>
    <x v="14"/>
    <n v="0.32882549092256391"/>
    <x v="14"/>
    <x v="14"/>
  </r>
  <r>
    <s v="ORD-10083"/>
    <x v="77"/>
    <s v="Sandra Thomas"/>
    <x v="0"/>
    <s v="Coffee Maker"/>
    <x v="2"/>
    <n v="2"/>
    <n v="2308.9719999999998"/>
    <n v="0"/>
    <n v="4617.9439999999995"/>
    <n v="1390.1146999999999"/>
    <x v="1"/>
    <n v="2025"/>
    <x v="7"/>
    <x v="8"/>
    <n v="0.3010245901639344"/>
    <x v="8"/>
    <x v="8"/>
  </r>
  <r>
    <s v="ORD-10084"/>
    <x v="78"/>
    <s v="Karen Miller"/>
    <x v="3"/>
    <s v="Nail Polish Set"/>
    <x v="1"/>
    <n v="1"/>
    <n v="722.02689999999996"/>
    <n v="10"/>
    <n v="650.10809999999992"/>
    <n v="366.21809999999999"/>
    <x v="1"/>
    <n v="2025"/>
    <x v="2"/>
    <x v="9"/>
    <n v="0.56331877729257651"/>
    <x v="9"/>
    <x v="9"/>
  </r>
  <r>
    <s v="ORD-10085"/>
    <x v="79"/>
    <s v="Mark Thomas"/>
    <x v="4"/>
    <s v="Face Mask Pack"/>
    <x v="1"/>
    <n v="2"/>
    <n v="1527.3281999999999"/>
    <n v="0"/>
    <n v="3054.6563999999998"/>
    <n v="1322.9274"/>
    <x v="0"/>
    <n v="2025"/>
    <x v="4"/>
    <x v="16"/>
    <n v="0.43308550185873607"/>
    <x v="16"/>
    <x v="16"/>
  </r>
  <r>
    <s v="ORD-10086"/>
    <x v="80"/>
    <s v="Kevin Taylor"/>
    <x v="3"/>
    <s v="Pillow Set"/>
    <x v="2"/>
    <n v="5"/>
    <n v="1624.7971"/>
    <n v="5"/>
    <n v="7718.0227999999997"/>
    <n v="2837.9536999999996"/>
    <x v="1"/>
    <n v="2025"/>
    <x v="10"/>
    <x v="21"/>
    <n v="0.36770475723393814"/>
    <x v="21"/>
    <x v="21"/>
  </r>
  <r>
    <s v="ORD-10087"/>
    <x v="81"/>
    <s v="Thomas White"/>
    <x v="3"/>
    <s v="Face Mask Pack"/>
    <x v="1"/>
    <n v="1"/>
    <n v="2830.3833"/>
    <n v="15"/>
    <n v="2405.4946"/>
    <n v="964.27969999999993"/>
    <x v="1"/>
    <n v="2025"/>
    <x v="2"/>
    <x v="9"/>
    <n v="0.40086546026750586"/>
    <x v="9"/>
    <x v="9"/>
  </r>
  <r>
    <s v="ORD-10088"/>
    <x v="82"/>
    <s v="Matthew Taylor"/>
    <x v="2"/>
    <s v="Water Bottle"/>
    <x v="4"/>
    <n v="3"/>
    <n v="4423.0061999999998"/>
    <n v="25"/>
    <n v="9952.2371000000003"/>
    <n v="2070.5043999999998"/>
    <x v="1"/>
    <n v="2024"/>
    <x v="9"/>
    <x v="15"/>
    <n v="0.20804411904535511"/>
    <x v="15"/>
    <x v="15"/>
  </r>
  <r>
    <s v="ORD-10089"/>
    <x v="83"/>
    <s v="Kimberly Martinez"/>
    <x v="3"/>
    <s v="Yoga Pants"/>
    <x v="3"/>
    <n v="1"/>
    <n v="4028.3990999999996"/>
    <n v="10"/>
    <n v="3625.2753000000002"/>
    <n v="1827.3052999999998"/>
    <x v="0"/>
    <n v="2024"/>
    <x v="8"/>
    <x v="12"/>
    <n v="0.50404594100756972"/>
    <x v="12"/>
    <x v="12"/>
  </r>
  <r>
    <s v="ORD-10090"/>
    <x v="84"/>
    <s v="Betty Anderson"/>
    <x v="0"/>
    <s v="Perfume Travel"/>
    <x v="1"/>
    <n v="2"/>
    <n v="3760.5962"/>
    <n v="10"/>
    <n v="6768.8838999999998"/>
    <n v="3157.8030999999996"/>
    <x v="0"/>
    <n v="2024"/>
    <x v="3"/>
    <x v="3"/>
    <n v="0.46651754508597787"/>
    <x v="3"/>
    <x v="3"/>
  </r>
  <r>
    <s v="ORD-10091"/>
    <x v="85"/>
    <s v="Michelle Smith"/>
    <x v="1"/>
    <s v="Smart Watch"/>
    <x v="0"/>
    <n v="4"/>
    <n v="12781.674099999998"/>
    <n v="5"/>
    <n v="48570.740099999995"/>
    <n v="10307.0996"/>
    <x v="1"/>
    <n v="2024"/>
    <x v="6"/>
    <x v="6"/>
    <n v="0.21220799968827325"/>
    <x v="6"/>
    <x v="6"/>
  </r>
  <r>
    <s v="ORD-10092"/>
    <x v="35"/>
    <s v="Daniel Lewis"/>
    <x v="2"/>
    <s v="Yoga Mat"/>
    <x v="4"/>
    <n v="4"/>
    <n v="5193.2943999999998"/>
    <n v="10"/>
    <n v="18696.0491"/>
    <n v="5157.335"/>
    <x v="0"/>
    <n v="2024"/>
    <x v="3"/>
    <x v="3"/>
    <n v="0.27585159690236372"/>
    <x v="3"/>
    <x v="3"/>
  </r>
  <r>
    <s v="ORD-10093"/>
    <x v="86"/>
    <s v="Linda Lee"/>
    <x v="1"/>
    <s v="Hair Oil"/>
    <x v="1"/>
    <n v="1"/>
    <n v="2921.2280999999998"/>
    <n v="0"/>
    <n v="2921.2280999999998"/>
    <n v="1416.6111000000001"/>
    <x v="0"/>
    <n v="2025"/>
    <x v="0"/>
    <x v="13"/>
    <n v="0.48493683187560743"/>
    <x v="13"/>
    <x v="13"/>
  </r>
  <r>
    <s v="ORD-10094"/>
    <x v="87"/>
    <s v="Susan Garcia"/>
    <x v="1"/>
    <s v="Face Moisturizer"/>
    <x v="1"/>
    <n v="1"/>
    <n v="3110.4880999999996"/>
    <n v="10"/>
    <n v="2799.1553999999996"/>
    <n v="1475.2817"/>
    <x v="1"/>
    <n v="2025"/>
    <x v="4"/>
    <x v="16"/>
    <n v="0.52704530087897239"/>
    <x v="16"/>
    <x v="16"/>
  </r>
  <r>
    <s v="ORD-10095"/>
    <x v="19"/>
    <s v="Donna Wilson"/>
    <x v="2"/>
    <s v="Running Shoes"/>
    <x v="3"/>
    <n v="1"/>
    <n v="6670.4686999999994"/>
    <n v="0"/>
    <n v="6670.4686999999994"/>
    <n v="3665.9661999999998"/>
    <x v="1"/>
    <n v="2025"/>
    <x v="1"/>
    <x v="1"/>
    <n v="0.54958150092211666"/>
    <x v="1"/>
    <x v="1"/>
  </r>
  <r>
    <s v="ORD-10096"/>
    <x v="88"/>
    <s v="Anthony Lee"/>
    <x v="3"/>
    <s v="Water Bottle"/>
    <x v="4"/>
    <n v="2"/>
    <n v="3421.8207999999995"/>
    <n v="5"/>
    <n v="6501.0810000000001"/>
    <n v="1196.1232"/>
    <x v="1"/>
    <n v="2024"/>
    <x v="1"/>
    <x v="11"/>
    <n v="0.18398835516739445"/>
    <x v="11"/>
    <x v="11"/>
  </r>
  <r>
    <s v="ORD-10097"/>
    <x v="89"/>
    <s v="Andrew Taylor"/>
    <x v="2"/>
    <s v="Mouse Wireless"/>
    <x v="0"/>
    <n v="2"/>
    <n v="4654.8496999999998"/>
    <n v="0"/>
    <n v="9309.6993999999995"/>
    <n v="1985.3373999999999"/>
    <x v="1"/>
    <n v="2024"/>
    <x v="1"/>
    <x v="11"/>
    <n v="0.21325472657044114"/>
    <x v="11"/>
    <x v="11"/>
  </r>
  <r>
    <s v="ORD-10098"/>
    <x v="90"/>
    <s v="Karen Garcia"/>
    <x v="3"/>
    <s v="Cargo Shorts"/>
    <x v="3"/>
    <n v="2"/>
    <n v="2889.0538999999999"/>
    <n v="10"/>
    <n v="5199.9184999999998"/>
    <n v="1956.0021000000002"/>
    <x v="2"/>
    <n v="2025"/>
    <x v="1"/>
    <x v="1"/>
    <n v="0.3761601455868972"/>
    <x v="1"/>
    <x v="1"/>
  </r>
  <r>
    <s v="ORD-10099"/>
    <x v="91"/>
    <s v="Ashley Davis"/>
    <x v="3"/>
    <s v="Door Mat"/>
    <x v="2"/>
    <n v="2"/>
    <n v="2743.3236999999999"/>
    <n v="5"/>
    <n v="5212.2203999999992"/>
    <n v="1828.2515999999998"/>
    <x v="0"/>
    <n v="2024"/>
    <x v="4"/>
    <x v="4"/>
    <n v="0.35076252723311546"/>
    <x v="4"/>
    <x v="4"/>
  </r>
  <r>
    <s v="ORD-10100"/>
    <x v="92"/>
    <s v="Steven White"/>
    <x v="4"/>
    <s v="Yoga Mat"/>
    <x v="4"/>
    <n v="3"/>
    <n v="3404.7873999999997"/>
    <n v="20"/>
    <n v="8171.3004999999994"/>
    <n v="2670.4585999999999"/>
    <x v="0"/>
    <n v="2024"/>
    <x v="0"/>
    <x v="0"/>
    <n v="0.32680949623624783"/>
    <x v="0"/>
    <x v="0"/>
  </r>
  <r>
    <s v="ORD-10101"/>
    <x v="93"/>
    <s v="Karen Williams"/>
    <x v="3"/>
    <s v="Denim Jacket"/>
    <x v="3"/>
    <n v="2"/>
    <n v="3273.2517000000003"/>
    <n v="0"/>
    <n v="6546.5034000000005"/>
    <n v="3154.9642000000003"/>
    <x v="0"/>
    <n v="2024"/>
    <x v="0"/>
    <x v="0"/>
    <n v="0.48193119398670137"/>
    <x v="0"/>
    <x v="0"/>
  </r>
  <r>
    <s v="ORD-10102"/>
    <x v="94"/>
    <s v="Andrew Gonzalez"/>
    <x v="4"/>
    <s v="Dumbbells 10lb"/>
    <x v="4"/>
    <n v="1"/>
    <n v="1525.4356"/>
    <n v="0"/>
    <n v="1525.4356"/>
    <n v="469.3648"/>
    <x v="0"/>
    <n v="2024"/>
    <x v="7"/>
    <x v="10"/>
    <n v="0.30769230769230771"/>
    <x v="10"/>
    <x v="10"/>
  </r>
  <r>
    <s v="ORD-10103"/>
    <x v="95"/>
    <s v="Christopher Brown"/>
    <x v="1"/>
    <s v="Cycling Gloves"/>
    <x v="4"/>
    <n v="3"/>
    <n v="5432.7082999999993"/>
    <n v="10"/>
    <n v="14668.596299999999"/>
    <n v="3524.9674999999997"/>
    <x v="1"/>
    <n v="2024"/>
    <x v="8"/>
    <x v="12"/>
    <n v="0.24030707696277659"/>
    <x v="12"/>
    <x v="12"/>
  </r>
  <r>
    <s v="ORD-10104"/>
    <x v="96"/>
    <s v="Emily Lee"/>
    <x v="1"/>
    <s v="Eye Cream"/>
    <x v="1"/>
    <n v="1"/>
    <n v="2171.7584999999999"/>
    <n v="0"/>
    <n v="2171.7584999999999"/>
    <n v="1212.2103"/>
    <x v="0"/>
    <n v="2025"/>
    <x v="0"/>
    <x v="13"/>
    <n v="0.55816993464052289"/>
    <x v="13"/>
    <x v="13"/>
  </r>
  <r>
    <s v="ORD-10105"/>
    <x v="97"/>
    <s v="Betty Robinson"/>
    <x v="3"/>
    <s v="Cycling Gloves"/>
    <x v="4"/>
    <n v="4"/>
    <n v="2593.8082999999997"/>
    <n v="0"/>
    <n v="10375.233199999999"/>
    <n v="3523.0748999999996"/>
    <x v="0"/>
    <n v="2024"/>
    <x v="2"/>
    <x v="2"/>
    <n v="0.33956585187887633"/>
    <x v="2"/>
    <x v="2"/>
  </r>
  <r>
    <s v="ORD-10106"/>
    <x v="98"/>
    <s v="Barbara Lewis"/>
    <x v="2"/>
    <s v="Yoga Pants"/>
    <x v="3"/>
    <n v="1"/>
    <n v="1967.3576999999998"/>
    <n v="20"/>
    <n v="1573.6968999999999"/>
    <n v="612.25609999999995"/>
    <x v="2"/>
    <n v="2024"/>
    <x v="2"/>
    <x v="2"/>
    <n v="0.38905592303066744"/>
    <x v="2"/>
    <x v="2"/>
  </r>
  <r>
    <s v="ORD-10107"/>
    <x v="99"/>
    <s v="Elizabeth Sanchez"/>
    <x v="4"/>
    <s v="Smart Watch"/>
    <x v="0"/>
    <n v="4"/>
    <n v="9647.5285000000003"/>
    <n v="5"/>
    <n v="36660.6083"/>
    <n v="5738.3631999999998"/>
    <x v="2"/>
    <n v="2025"/>
    <x v="2"/>
    <x v="9"/>
    <n v="0.15652667716372834"/>
    <x v="9"/>
    <x v="9"/>
  </r>
  <r>
    <s v="ORD-10108"/>
    <x v="100"/>
    <s v="Mary Jones"/>
    <x v="0"/>
    <s v="Blender"/>
    <x v="2"/>
    <n v="2"/>
    <n v="3270.4128000000001"/>
    <n v="0"/>
    <n v="6540.8256000000001"/>
    <n v="2345.8777"/>
    <x v="1"/>
    <n v="2025"/>
    <x v="2"/>
    <x v="9"/>
    <n v="0.35865162037037035"/>
    <x v="9"/>
    <x v="9"/>
  </r>
  <r>
    <s v="ORD-10109"/>
    <x v="101"/>
    <s v="Matthew Martinez"/>
    <x v="4"/>
    <s v="USB-C Hub"/>
    <x v="0"/>
    <n v="4"/>
    <n v="9024.8631000000005"/>
    <n v="20"/>
    <n v="28879.183399999998"/>
    <n v="7026.2774999999992"/>
    <x v="1"/>
    <n v="2025"/>
    <x v="5"/>
    <x v="5"/>
    <n v="0.24329903663411756"/>
    <x v="5"/>
    <x v="5"/>
  </r>
  <r>
    <s v="ORD-10110"/>
    <x v="102"/>
    <s v="Joseph Sanchez"/>
    <x v="2"/>
    <s v="Nail Polish Set"/>
    <x v="1"/>
    <n v="4"/>
    <n v="2762.2496999999998"/>
    <n v="0"/>
    <n v="11048.998799999999"/>
    <n v="6395.0953999999992"/>
    <x v="0"/>
    <n v="2024"/>
    <x v="0"/>
    <x v="0"/>
    <n v="0.57879410757108596"/>
    <x v="0"/>
    <x v="0"/>
  </r>
  <r>
    <s v="ORD-10111"/>
    <x v="103"/>
    <s v="Robert Hernandez"/>
    <x v="4"/>
    <s v="Storage Bins"/>
    <x v="2"/>
    <n v="1"/>
    <n v="2899.4631999999997"/>
    <n v="0"/>
    <n v="2899.4631999999997"/>
    <n v="788.26789999999994"/>
    <x v="0"/>
    <n v="2024"/>
    <x v="10"/>
    <x v="17"/>
    <n v="0.27186684073107048"/>
    <x v="17"/>
    <x v="17"/>
  </r>
  <r>
    <s v="ORD-10112"/>
    <x v="104"/>
    <s v="Lisa Lee"/>
    <x v="1"/>
    <s v="Running Shoes"/>
    <x v="3"/>
    <n v="3"/>
    <n v="6062.9440999999988"/>
    <n v="0"/>
    <n v="18188.832299999998"/>
    <n v="7445.4884000000002"/>
    <x v="1"/>
    <n v="2024"/>
    <x v="10"/>
    <x v="17"/>
    <n v="0.40934394672493629"/>
    <x v="17"/>
    <x v="17"/>
  </r>
  <r>
    <s v="ORD-10113"/>
    <x v="105"/>
    <s v="Barbara Wilson"/>
    <x v="3"/>
    <s v="Lip Balm Set"/>
    <x v="1"/>
    <n v="2"/>
    <n v="3739.7775999999999"/>
    <n v="10"/>
    <n v="6731.9781999999996"/>
    <n v="3382.0762"/>
    <x v="1"/>
    <n v="2024"/>
    <x v="2"/>
    <x v="2"/>
    <n v="0.5023896542029801"/>
    <x v="2"/>
    <x v="2"/>
  </r>
  <r>
    <s v="ORD-10114"/>
    <x v="106"/>
    <s v="Susan Clark"/>
    <x v="3"/>
    <s v="Wool Sweater"/>
    <x v="3"/>
    <n v="1"/>
    <n v="5224.5222999999996"/>
    <n v="5"/>
    <n v="4963.3434999999999"/>
    <n v="1658.8639000000001"/>
    <x v="0"/>
    <n v="2025"/>
    <x v="7"/>
    <x v="8"/>
    <n v="0.3342230695900858"/>
    <x v="8"/>
    <x v="8"/>
  </r>
  <r>
    <s v="ORD-10115"/>
    <x v="107"/>
    <s v="Karen Moore"/>
    <x v="4"/>
    <s v="Cutting Board"/>
    <x v="2"/>
    <n v="2"/>
    <n v="7047.0960999999998"/>
    <n v="0"/>
    <n v="14094.1922"/>
    <n v="4987.9472999999998"/>
    <x v="1"/>
    <n v="2024"/>
    <x v="3"/>
    <x v="3"/>
    <n v="0.35390089969115079"/>
    <x v="3"/>
    <x v="3"/>
  </r>
  <r>
    <s v="ORD-10116"/>
    <x v="108"/>
    <s v="Kenneth Brown"/>
    <x v="0"/>
    <s v="Knife Set"/>
    <x v="2"/>
    <n v="2"/>
    <n v="5642.7869000000001"/>
    <n v="15"/>
    <n v="9592.6430999999993"/>
    <n v="3083.0453999999995"/>
    <x v="0"/>
    <n v="2024"/>
    <x v="5"/>
    <x v="18"/>
    <n v="0.32139686297721215"/>
    <x v="18"/>
    <x v="18"/>
  </r>
  <r>
    <s v="ORD-10117"/>
    <x v="109"/>
    <s v="Dorothy Rodriguez"/>
    <x v="2"/>
    <s v="Pillow Set"/>
    <x v="2"/>
    <n v="4"/>
    <n v="6202.0502000000006"/>
    <n v="25"/>
    <n v="18606.150600000001"/>
    <n v="6093.2257"/>
    <x v="2"/>
    <n v="2024"/>
    <x v="0"/>
    <x v="0"/>
    <n v="0.32748448784457329"/>
    <x v="0"/>
    <x v="0"/>
  </r>
  <r>
    <s v="ORD-10118"/>
    <x v="110"/>
    <s v="Richard Brown"/>
    <x v="1"/>
    <s v="Door Mat"/>
    <x v="2"/>
    <n v="2"/>
    <n v="3447.3708999999999"/>
    <n v="0"/>
    <n v="6894.7417999999998"/>
    <n v="2529.4598999999998"/>
    <x v="1"/>
    <n v="2025"/>
    <x v="10"/>
    <x v="21"/>
    <n v="0.36686796596211912"/>
    <x v="21"/>
    <x v="21"/>
  </r>
  <r>
    <s v="ORD-10119"/>
    <x v="111"/>
    <s v="Jennifer Martinez"/>
    <x v="4"/>
    <s v="Keyboard Mechanical"/>
    <x v="0"/>
    <n v="1"/>
    <n v="10800.121899999998"/>
    <n v="15"/>
    <n v="9180.0563000000002"/>
    <n v="773.12709999999993"/>
    <x v="1"/>
    <n v="2025"/>
    <x v="1"/>
    <x v="1"/>
    <n v="8.4218121843108951E-2"/>
    <x v="1"/>
    <x v="1"/>
  </r>
  <r>
    <s v="ORD-10120"/>
    <x v="112"/>
    <s v="Jessica Thompson"/>
    <x v="0"/>
    <s v="Cycling Gloves"/>
    <x v="4"/>
    <n v="3"/>
    <n v="2534.1914000000002"/>
    <n v="0"/>
    <n v="7602.5742"/>
    <n v="1198.0157999999999"/>
    <x v="0"/>
    <n v="2025"/>
    <x v="9"/>
    <x v="22"/>
    <n v="0.15758028379387601"/>
    <x v="22"/>
    <x v="22"/>
  </r>
  <r>
    <s v="ORD-10121"/>
    <x v="113"/>
    <s v="Emily Davis"/>
    <x v="2"/>
    <s v="Yoga Mat"/>
    <x v="4"/>
    <n v="4"/>
    <n v="5334.2930999999999"/>
    <n v="10"/>
    <n v="19203.265899999999"/>
    <n v="6153.7888999999996"/>
    <x v="2"/>
    <n v="2025"/>
    <x v="11"/>
    <x v="19"/>
    <n v="0.32045532942393928"/>
    <x v="19"/>
    <x v="19"/>
  </r>
  <r>
    <s v="ORD-10122"/>
    <x v="114"/>
    <s v="Joshua Davis"/>
    <x v="4"/>
    <s v="Tennis Balls"/>
    <x v="4"/>
    <n v="2"/>
    <n v="5633.3238999999994"/>
    <n v="5"/>
    <n v="10703.5993"/>
    <n v="3073.5823999999998"/>
    <x v="0"/>
    <n v="2024"/>
    <x v="4"/>
    <x v="4"/>
    <n v="0.28715409778092121"/>
    <x v="4"/>
    <x v="4"/>
  </r>
  <r>
    <s v="ORD-10123"/>
    <x v="115"/>
    <s v="Linda Lee"/>
    <x v="3"/>
    <s v="Jump Rope"/>
    <x v="4"/>
    <n v="3"/>
    <n v="2556.9025999999999"/>
    <n v="5"/>
    <n v="7287.4562999999998"/>
    <n v="1345.6386"/>
    <x v="0"/>
    <n v="2024"/>
    <x v="1"/>
    <x v="11"/>
    <n v="0.18465134398130115"/>
    <x v="11"/>
    <x v="11"/>
  </r>
  <r>
    <s v="ORD-10124"/>
    <x v="116"/>
    <s v="Robert Williams"/>
    <x v="4"/>
    <s v="Knife Set"/>
    <x v="2"/>
    <n v="2"/>
    <n v="1853.8017"/>
    <n v="10"/>
    <n v="3336.6537999999996"/>
    <n v="819.49579999999992"/>
    <x v="1"/>
    <n v="2025"/>
    <x v="2"/>
    <x v="9"/>
    <n v="0.24560408394781622"/>
    <x v="9"/>
    <x v="9"/>
  </r>
  <r>
    <s v="ORD-10125"/>
    <x v="117"/>
    <s v="Robert Smith"/>
    <x v="1"/>
    <s v="Tablet Case"/>
    <x v="0"/>
    <n v="2"/>
    <n v="2137.6916999999999"/>
    <n v="10"/>
    <n v="3847.6557999999995"/>
    <n v="520.46499999999992"/>
    <x v="1"/>
    <n v="2024"/>
    <x v="1"/>
    <x v="11"/>
    <n v="0.1352680767338908"/>
    <x v="11"/>
    <x v="11"/>
  </r>
  <r>
    <s v="ORD-10126"/>
    <x v="118"/>
    <s v="Richard Thompson"/>
    <x v="3"/>
    <s v="Nail Polish Set"/>
    <x v="1"/>
    <n v="1"/>
    <n v="2381.8371000000002"/>
    <n v="15"/>
    <n v="2024.1357"/>
    <n v="1004.0242999999999"/>
    <x v="0"/>
    <n v="2024"/>
    <x v="1"/>
    <x v="11"/>
    <n v="0.49602618045815799"/>
    <x v="11"/>
    <x v="11"/>
  </r>
  <r>
    <s v="ORD-10127"/>
    <x v="119"/>
    <s v="Mary Anderson"/>
    <x v="4"/>
    <s v="Cotton T-Shirt"/>
    <x v="3"/>
    <n v="1"/>
    <n v="8476.9553999999989"/>
    <n v="5"/>
    <n v="8053.012999999999"/>
    <n v="3471.0283999999997"/>
    <x v="0"/>
    <n v="2025"/>
    <x v="8"/>
    <x v="14"/>
    <n v="0.43102232667450058"/>
    <x v="14"/>
    <x v="14"/>
  </r>
  <r>
    <s v="ORD-10128"/>
    <x v="28"/>
    <s v="Kevin Martin"/>
    <x v="4"/>
    <s v="Dumbbells 10lb"/>
    <x v="4"/>
    <n v="2"/>
    <n v="3908.2189999999996"/>
    <n v="15"/>
    <n v="6643.9722999999994"/>
    <n v="1057.9633999999999"/>
    <x v="1"/>
    <n v="2024"/>
    <x v="10"/>
    <x v="17"/>
    <n v="0.15923657598632673"/>
    <x v="17"/>
    <x v="17"/>
  </r>
  <r>
    <s v="ORD-10129"/>
    <x v="120"/>
    <s v="Emily Williams"/>
    <x v="1"/>
    <s v="Resistance Bands"/>
    <x v="4"/>
    <n v="2"/>
    <n v="1066.4801"/>
    <n v="0"/>
    <n v="2132.9602"/>
    <n v="564.94110000000001"/>
    <x v="0"/>
    <n v="2024"/>
    <x v="7"/>
    <x v="10"/>
    <n v="0.26486246672582076"/>
    <x v="10"/>
    <x v="10"/>
  </r>
  <r>
    <s v="ORD-10130"/>
    <x v="121"/>
    <s v="Emily Davis"/>
    <x v="0"/>
    <s v="Wireless Headphones"/>
    <x v="0"/>
    <n v="3"/>
    <n v="13956.9787"/>
    <n v="15"/>
    <n v="35590.343000000001"/>
    <n v="8880.0792000000001"/>
    <x v="1"/>
    <n v="2025"/>
    <x v="10"/>
    <x v="21"/>
    <n v="0.24950810954533367"/>
    <x v="21"/>
    <x v="21"/>
  </r>
  <r>
    <s v="ORD-10131"/>
    <x v="122"/>
    <s v="Kevin Martinez"/>
    <x v="4"/>
    <s v="Sunscreen SPF50"/>
    <x v="1"/>
    <n v="3"/>
    <n v="3031.9451999999997"/>
    <n v="25"/>
    <n v="6821.8766999999998"/>
    <n v="3977.2988999999998"/>
    <x v="0"/>
    <n v="2025"/>
    <x v="1"/>
    <x v="1"/>
    <n v="0.58302122347066165"/>
    <x v="1"/>
    <x v="1"/>
  </r>
  <r>
    <s v="ORD-10132"/>
    <x v="123"/>
    <s v="Betty Lee"/>
    <x v="0"/>
    <s v="Lip Balm Set"/>
    <x v="1"/>
    <n v="1"/>
    <n v="3656.5031999999997"/>
    <n v="10"/>
    <n v="3291.2314000000001"/>
    <n v="1885.9758999999999"/>
    <x v="2"/>
    <n v="2025"/>
    <x v="2"/>
    <x v="9"/>
    <n v="0.57303047728579637"/>
    <x v="9"/>
    <x v="9"/>
  </r>
  <r>
    <s v="ORD-10133"/>
    <x v="124"/>
    <s v="Ashley Johnson"/>
    <x v="2"/>
    <s v="Blender"/>
    <x v="2"/>
    <n v="3"/>
    <n v="7004.5125999999991"/>
    <n v="0"/>
    <n v="21013.537799999998"/>
    <n v="8329.3325999999997"/>
    <x v="1"/>
    <n v="2024"/>
    <x v="1"/>
    <x v="11"/>
    <n v="0.39637935693055931"/>
    <x v="11"/>
    <x v="11"/>
  </r>
  <r>
    <s v="ORD-10134"/>
    <x v="20"/>
    <s v="Richard Anderson"/>
    <x v="0"/>
    <s v="Foam Roller"/>
    <x v="4"/>
    <n v="3"/>
    <n v="1857.5868999999998"/>
    <n v="5"/>
    <n v="5294.5484999999999"/>
    <n v="1749.7086999999997"/>
    <x v="2"/>
    <n v="2024"/>
    <x v="1"/>
    <x v="11"/>
    <n v="0.33047363717604999"/>
    <x v="11"/>
    <x v="11"/>
  </r>
  <r>
    <s v="ORD-10135"/>
    <x v="63"/>
    <s v="Emily Martin"/>
    <x v="2"/>
    <s v="Nail Polish Set"/>
    <x v="1"/>
    <n v="3"/>
    <n v="3748.2942999999996"/>
    <n v="10"/>
    <n v="10120.6785"/>
    <n v="4631.1921999999995"/>
    <x v="0"/>
    <n v="2024"/>
    <x v="1"/>
    <x v="11"/>
    <n v="0.45759700794763902"/>
    <x v="11"/>
    <x v="11"/>
  </r>
  <r>
    <s v="ORD-10136"/>
    <x v="125"/>
    <s v="Barbara Martinez"/>
    <x v="2"/>
    <s v="Eye Cream"/>
    <x v="1"/>
    <n v="2"/>
    <n v="4533.7232999999997"/>
    <n v="0"/>
    <n v="9067.4465999999993"/>
    <n v="4340.6780999999992"/>
    <x v="0"/>
    <n v="2024"/>
    <x v="2"/>
    <x v="2"/>
    <n v="0.47871008140262988"/>
    <x v="2"/>
    <x v="2"/>
  </r>
  <r>
    <s v="ORD-10137"/>
    <x v="126"/>
    <s v="Michael Ramirez"/>
    <x v="4"/>
    <s v="Wool Sweater"/>
    <x v="3"/>
    <n v="1"/>
    <n v="4785.4390999999996"/>
    <n v="5"/>
    <n v="4546.0252"/>
    <n v="1460.1408999999999"/>
    <x v="1"/>
    <n v="2024"/>
    <x v="2"/>
    <x v="2"/>
    <n v="0.32119067443796834"/>
    <x v="2"/>
    <x v="2"/>
  </r>
  <r>
    <s v="ORD-10138"/>
    <x v="127"/>
    <s v="Joseph Jones"/>
    <x v="3"/>
    <s v="Sunscreen SPF50"/>
    <x v="1"/>
    <n v="2"/>
    <n v="1079.7283"/>
    <n v="20"/>
    <n v="1727.9438"/>
    <n v="1007.8095"/>
    <x v="1"/>
    <n v="2025"/>
    <x v="5"/>
    <x v="5"/>
    <n v="0.58324205914567362"/>
    <x v="5"/>
    <x v="5"/>
  </r>
  <r>
    <s v="ORD-10139"/>
    <x v="128"/>
    <s v="Matthew Johnson"/>
    <x v="0"/>
    <s v="Cutting Board"/>
    <x v="2"/>
    <n v="2"/>
    <n v="6151.8963000000003"/>
    <n v="5"/>
    <n v="11688.6976"/>
    <n v="4076.6603999999998"/>
    <x v="0"/>
    <n v="2025"/>
    <x v="11"/>
    <x v="19"/>
    <n v="0.34876943005181349"/>
    <x v="19"/>
    <x v="19"/>
  </r>
  <r>
    <s v="ORD-10140"/>
    <x v="129"/>
    <s v="Robert Clark"/>
    <x v="3"/>
    <s v="Cutting Board"/>
    <x v="2"/>
    <n v="1"/>
    <n v="2041.1690999999998"/>
    <n v="10"/>
    <n v="1836.7683"/>
    <n v="411.64049999999997"/>
    <x v="1"/>
    <n v="2024"/>
    <x v="9"/>
    <x v="15"/>
    <n v="0.22411128284389489"/>
    <x v="15"/>
    <x v="15"/>
  </r>
  <r>
    <s v="ORD-10141"/>
    <x v="130"/>
    <s v="Richard Lee"/>
    <x v="0"/>
    <s v="Throw Blanket"/>
    <x v="2"/>
    <n v="4"/>
    <n v="5937.0861999999997"/>
    <n v="15"/>
    <n v="20186.471599999997"/>
    <n v="6049.6958999999997"/>
    <x v="0"/>
    <n v="2024"/>
    <x v="10"/>
    <x v="17"/>
    <n v="0.29969060566285394"/>
    <x v="17"/>
    <x v="17"/>
  </r>
  <r>
    <s v="ORD-10142"/>
    <x v="131"/>
    <s v="Daniel Robinson"/>
    <x v="1"/>
    <s v="Blender"/>
    <x v="2"/>
    <n v="1"/>
    <n v="2142.4231999999997"/>
    <n v="0"/>
    <n v="2142.4231999999997"/>
    <n v="793.94569999999999"/>
    <x v="0"/>
    <n v="2025"/>
    <x v="0"/>
    <x v="13"/>
    <n v="0.37058303886925797"/>
    <x v="13"/>
    <x v="13"/>
  </r>
  <r>
    <s v="ORD-10143"/>
    <x v="56"/>
    <s v="Linda Martinez"/>
    <x v="1"/>
    <s v="Running Shoes"/>
    <x v="3"/>
    <n v="1"/>
    <n v="2006.1559999999999"/>
    <n v="0"/>
    <n v="2006.1559999999999"/>
    <n v="644.43029999999999"/>
    <x v="0"/>
    <n v="2024"/>
    <x v="3"/>
    <x v="3"/>
    <n v="0.32122641509433963"/>
    <x v="3"/>
    <x v="3"/>
  </r>
  <r>
    <s v="ORD-10144"/>
    <x v="132"/>
    <s v="Richard Gonzalez"/>
    <x v="0"/>
    <s v="Running Shoes"/>
    <x v="3"/>
    <n v="2"/>
    <n v="2823.7592"/>
    <n v="25"/>
    <n v="4235.6387999999997"/>
    <n v="1304.9476999999999"/>
    <x v="1"/>
    <n v="2024"/>
    <x v="1"/>
    <x v="11"/>
    <n v="0.3080875781948168"/>
    <x v="11"/>
    <x v="11"/>
  </r>
  <r>
    <s v="ORD-10145"/>
    <x v="133"/>
    <s v="Barbara Lee"/>
    <x v="3"/>
    <s v="Door Mat"/>
    <x v="2"/>
    <n v="1"/>
    <n v="2895.6779999999999"/>
    <n v="5"/>
    <n v="2750.8941"/>
    <n v="885.7367999999999"/>
    <x v="1"/>
    <n v="2025"/>
    <x v="9"/>
    <x v="22"/>
    <n v="0.32198142414860675"/>
    <x v="22"/>
    <x v="22"/>
  </r>
  <r>
    <s v="ORD-10146"/>
    <x v="134"/>
    <s v="Sarah Clark"/>
    <x v="1"/>
    <s v="Face Moisturizer"/>
    <x v="1"/>
    <n v="1"/>
    <n v="4657.6885999999995"/>
    <n v="15"/>
    <n v="3959.3191999999999"/>
    <n v="2254.0866000000001"/>
    <x v="1"/>
    <n v="2025"/>
    <x v="8"/>
    <x v="14"/>
    <n v="0.56931166347992357"/>
    <x v="14"/>
    <x v="14"/>
  </r>
  <r>
    <s v="ORD-10147"/>
    <x v="135"/>
    <s v="Mary Thomas"/>
    <x v="1"/>
    <s v="Yoga Pants"/>
    <x v="3"/>
    <n v="2"/>
    <n v="4632.1385"/>
    <n v="5"/>
    <n v="8801.5362999999998"/>
    <n v="4108.8346000000001"/>
    <x v="0"/>
    <n v="2025"/>
    <x v="7"/>
    <x v="8"/>
    <n v="0.46683152349209767"/>
    <x v="8"/>
    <x v="8"/>
  </r>
  <r>
    <s v="ORD-10148"/>
    <x v="136"/>
    <s v="Thomas Smith"/>
    <x v="1"/>
    <s v="Body Lotion"/>
    <x v="1"/>
    <n v="1"/>
    <n v="3406.68"/>
    <n v="15"/>
    <n v="2895.6779999999999"/>
    <n v="1166.7879"/>
    <x v="0"/>
    <n v="2024"/>
    <x v="11"/>
    <x v="23"/>
    <n v="0.40294117647058825"/>
    <x v="23"/>
    <x v="23"/>
  </r>
  <r>
    <s v="ORD-10149"/>
    <x v="137"/>
    <s v="Thomas Brown"/>
    <x v="4"/>
    <s v="Perfume Travel"/>
    <x v="1"/>
    <n v="2"/>
    <n v="4634.9773999999998"/>
    <n v="10"/>
    <n v="8342.5807999999997"/>
    <n v="3810.7501000000002"/>
    <x v="1"/>
    <n v="2024"/>
    <x v="10"/>
    <x v="17"/>
    <n v="0.45678312159709622"/>
    <x v="17"/>
    <x v="17"/>
  </r>
  <r>
    <s v="ORD-10150"/>
    <x v="138"/>
    <s v="Emily Thompson"/>
    <x v="4"/>
    <s v="Running Shoes"/>
    <x v="3"/>
    <n v="5"/>
    <n v="2737.6459"/>
    <n v="0"/>
    <n v="13688.229499999999"/>
    <n v="7342.3416999999999"/>
    <x v="1"/>
    <n v="2025"/>
    <x v="0"/>
    <x v="13"/>
    <n v="0.53639820255789838"/>
    <x v="13"/>
    <x v="13"/>
  </r>
  <r>
    <s v="ORD-10151"/>
    <x v="139"/>
    <s v="Kimberly Wilson"/>
    <x v="2"/>
    <s v="Yoga Pants"/>
    <x v="3"/>
    <n v="2"/>
    <n v="7707.6134999999995"/>
    <n v="10"/>
    <n v="13873.704300000001"/>
    <n v="6599.4961999999996"/>
    <x v="0"/>
    <n v="2025"/>
    <x v="5"/>
    <x v="5"/>
    <n v="0.47568378691767266"/>
    <x v="5"/>
    <x v="5"/>
  </r>
  <r>
    <s v="ORD-10152"/>
    <x v="140"/>
    <s v="Donald Brown"/>
    <x v="1"/>
    <s v="Yoga Mat"/>
    <x v="4"/>
    <n v="2"/>
    <n v="1850.0165"/>
    <n v="20"/>
    <n v="2960.0263999999997"/>
    <n v="781.64379999999994"/>
    <x v="1"/>
    <n v="2024"/>
    <x v="1"/>
    <x v="11"/>
    <n v="0.26406649616368288"/>
    <x v="11"/>
    <x v="11"/>
  </r>
  <r>
    <s v="ORD-10153"/>
    <x v="124"/>
    <s v="James Brown"/>
    <x v="4"/>
    <s v="Perfume Travel"/>
    <x v="1"/>
    <n v="3"/>
    <n v="1239.653"/>
    <n v="0"/>
    <n v="3718.9589999999994"/>
    <n v="2157.5639999999999"/>
    <x v="0"/>
    <n v="2024"/>
    <x v="1"/>
    <x v="11"/>
    <n v="0.58015267175572527"/>
    <x v="11"/>
    <x v="11"/>
  </r>
  <r>
    <s v="ORD-10154"/>
    <x v="141"/>
    <s v="Sandra Lopez"/>
    <x v="2"/>
    <s v="Body Lotion"/>
    <x v="1"/>
    <n v="2"/>
    <n v="4684.1849999999995"/>
    <n v="0"/>
    <n v="9368.369999999999"/>
    <n v="5823.5301999999992"/>
    <x v="1"/>
    <n v="2024"/>
    <x v="5"/>
    <x v="18"/>
    <n v="0.62161616161616162"/>
    <x v="18"/>
    <x v="18"/>
  </r>
  <r>
    <s v="ORD-10155"/>
    <x v="53"/>
    <s v="Michelle Thompson"/>
    <x v="0"/>
    <s v="Webcam HD"/>
    <x v="0"/>
    <n v="2"/>
    <n v="13357.0245"/>
    <n v="20"/>
    <n v="21371.2392"/>
    <n v="3848.6021000000001"/>
    <x v="0"/>
    <n v="2025"/>
    <x v="6"/>
    <x v="20"/>
    <n v="0.18008324477506199"/>
    <x v="20"/>
    <x v="20"/>
  </r>
  <r>
    <s v="ORD-10156"/>
    <x v="142"/>
    <s v="Daniel Johnson"/>
    <x v="0"/>
    <s v="Nail Polish Set"/>
    <x v="1"/>
    <n v="4"/>
    <n v="1530.1671000000001"/>
    <n v="10"/>
    <n v="5508.4123"/>
    <n v="2455.6484999999998"/>
    <x v="0"/>
    <n v="2024"/>
    <x v="4"/>
    <x v="4"/>
    <n v="0.44579969077478093"/>
    <x v="4"/>
    <x v="4"/>
  </r>
  <r>
    <s v="ORD-10157"/>
    <x v="143"/>
    <s v="Mary Miller"/>
    <x v="2"/>
    <s v="Throw Blanket"/>
    <x v="2"/>
    <n v="2"/>
    <n v="7440.7568999999994"/>
    <n v="0"/>
    <n v="14881.513799999999"/>
    <n v="4912.2432999999992"/>
    <x v="0"/>
    <n v="2024"/>
    <x v="3"/>
    <x v="3"/>
    <n v="0.33009029632455805"/>
    <x v="3"/>
    <x v="3"/>
  </r>
  <r>
    <s v="ORD-10158"/>
    <x v="144"/>
    <s v="Robert Robinson"/>
    <x v="4"/>
    <s v="USB-C Hub"/>
    <x v="0"/>
    <n v="3"/>
    <n v="9897.3516999999993"/>
    <n v="15"/>
    <n v="25237.820999999996"/>
    <n v="2259.7644"/>
    <x v="0"/>
    <n v="2024"/>
    <x v="6"/>
    <x v="6"/>
    <n v="8.9538807649043886E-2"/>
    <x v="6"/>
    <x v="6"/>
  </r>
  <r>
    <s v="ORD-10159"/>
    <x v="145"/>
    <s v="Jessica Ramirez"/>
    <x v="4"/>
    <s v="Dumbbells 10lb"/>
    <x v="4"/>
    <n v="1"/>
    <n v="2873.9130999999998"/>
    <n v="10"/>
    <n v="2586.2378999999996"/>
    <n v="591.4375"/>
    <x v="0"/>
    <n v="2025"/>
    <x v="3"/>
    <x v="7"/>
    <n v="0.22868642517380172"/>
    <x v="7"/>
    <x v="7"/>
  </r>
  <r>
    <s v="ORD-10160"/>
    <x v="146"/>
    <s v="Joshua Harris"/>
    <x v="0"/>
    <s v="Lip Balm Set"/>
    <x v="1"/>
    <n v="1"/>
    <n v="1235.8678"/>
    <n v="0"/>
    <n v="1235.8678"/>
    <n v="753.25479999999993"/>
    <x v="0"/>
    <n v="2025"/>
    <x v="3"/>
    <x v="7"/>
    <n v="0.60949464012251142"/>
    <x v="7"/>
    <x v="7"/>
  </r>
  <r>
    <s v="ORD-10161"/>
    <x v="147"/>
    <s v="Elizabeth Jackson"/>
    <x v="2"/>
    <s v="Rain Jacket"/>
    <x v="3"/>
    <n v="2"/>
    <n v="6791.5950999999995"/>
    <n v="25"/>
    <n v="10187.8658"/>
    <n v="5054.1882999999998"/>
    <x v="1"/>
    <n v="2024"/>
    <x v="10"/>
    <x v="17"/>
    <n v="0.49609882964889468"/>
    <x v="17"/>
    <x v="17"/>
  </r>
  <r>
    <s v="ORD-10162"/>
    <x v="148"/>
    <s v="Daniel Jackson"/>
    <x v="1"/>
    <s v="Throw Blanket"/>
    <x v="2"/>
    <n v="3"/>
    <n v="5675.9073999999991"/>
    <n v="0"/>
    <n v="17027.7222"/>
    <n v="5737.4169000000002"/>
    <x v="1"/>
    <n v="2025"/>
    <x v="8"/>
    <x v="14"/>
    <n v="0.33694564854951653"/>
    <x v="14"/>
    <x v="14"/>
  </r>
  <r>
    <s v="ORD-10163"/>
    <x v="21"/>
    <s v="Elizabeth Williams"/>
    <x v="0"/>
    <s v="Face Mask Pack"/>
    <x v="1"/>
    <n v="1"/>
    <n v="4621.7291999999998"/>
    <n v="25"/>
    <n v="3466.2969000000003"/>
    <n v="1703.34"/>
    <x v="0"/>
    <n v="2025"/>
    <x v="1"/>
    <x v="1"/>
    <n v="0.49140049140049136"/>
    <x v="1"/>
    <x v="1"/>
  </r>
  <r>
    <s v="ORD-10164"/>
    <x v="82"/>
    <s v="Richard Martinez"/>
    <x v="1"/>
    <s v="Throw Blanket"/>
    <x v="2"/>
    <n v="3"/>
    <n v="2209.6105000000002"/>
    <n v="5"/>
    <n v="6297.6264999999994"/>
    <n v="1581.2673"/>
    <x v="0"/>
    <n v="2024"/>
    <x v="9"/>
    <x v="15"/>
    <n v="0.25108940646130729"/>
    <x v="15"/>
    <x v="15"/>
  </r>
  <r>
    <s v="ORD-10165"/>
    <x v="149"/>
    <s v="Mark Miller"/>
    <x v="4"/>
    <s v="Yoga Mat"/>
    <x v="4"/>
    <n v="4"/>
    <n v="4600.9105999999992"/>
    <n v="15"/>
    <n v="15643.2853"/>
    <n v="2503.9097999999999"/>
    <x v="0"/>
    <n v="2025"/>
    <x v="2"/>
    <x v="9"/>
    <n v="0.16006291210453089"/>
    <x v="9"/>
    <x v="9"/>
  </r>
  <r>
    <s v="ORD-10166"/>
    <x v="150"/>
    <s v="Kimberly Martin"/>
    <x v="1"/>
    <s v="Dumbbells 10lb"/>
    <x v="4"/>
    <n v="1"/>
    <n v="4570.6289999999999"/>
    <n v="10"/>
    <n v="4113.5661"/>
    <n v="951.9778"/>
    <x v="0"/>
    <n v="2025"/>
    <x v="2"/>
    <x v="9"/>
    <n v="0.23142397055440533"/>
    <x v="9"/>
    <x v="9"/>
  </r>
  <r>
    <s v="ORD-10167"/>
    <x v="75"/>
    <s v="Ashley Thompson"/>
    <x v="0"/>
    <s v="Body Lotion"/>
    <x v="1"/>
    <n v="3"/>
    <n v="1392.0073"/>
    <n v="5"/>
    <n v="3966.8896"/>
    <n v="2198.2548999999999"/>
    <x v="0"/>
    <n v="2025"/>
    <x v="7"/>
    <x v="8"/>
    <n v="0.55415076335877855"/>
    <x v="8"/>
    <x v="8"/>
  </r>
  <r>
    <s v="ORD-10168"/>
    <x v="98"/>
    <s v="Matthew Thomas"/>
    <x v="3"/>
    <s v="Smart Watch"/>
    <x v="0"/>
    <n v="1"/>
    <n v="7036.6867999999995"/>
    <n v="5"/>
    <n v="6684.6632"/>
    <n v="1114.7413999999999"/>
    <x v="0"/>
    <n v="2024"/>
    <x v="2"/>
    <x v="2"/>
    <n v="0.16676104190260474"/>
    <x v="2"/>
    <x v="2"/>
  </r>
  <r>
    <s v="ORD-10169"/>
    <x v="151"/>
    <s v="Betty Lewis"/>
    <x v="0"/>
    <s v="Wireless Headphones"/>
    <x v="0"/>
    <n v="1"/>
    <n v="8222.4007000000001"/>
    <n v="20"/>
    <n v="6577.7313000000004"/>
    <n v="1472.4428"/>
    <x v="1"/>
    <n v="2024"/>
    <x v="8"/>
    <x v="12"/>
    <n v="0.22385268306718456"/>
    <x v="12"/>
    <x v="12"/>
  </r>
  <r>
    <s v="ORD-10170"/>
    <x v="104"/>
    <s v="Nancy Lopez"/>
    <x v="2"/>
    <s v="Perfume Travel"/>
    <x v="1"/>
    <n v="2"/>
    <n v="2499.1783"/>
    <n v="5"/>
    <n v="4748.5333999999993"/>
    <n v="2022.2430999999999"/>
    <x v="1"/>
    <n v="2024"/>
    <x v="10"/>
    <x v="17"/>
    <n v="0.42586687923475491"/>
    <x v="17"/>
    <x v="17"/>
  </r>
  <r>
    <s v="ORD-10171"/>
    <x v="152"/>
    <s v="Sandra Thompson"/>
    <x v="4"/>
    <s v="Door Mat"/>
    <x v="2"/>
    <n v="2"/>
    <n v="5220.7371000000003"/>
    <n v="5"/>
    <n v="9919.1165999999994"/>
    <n v="2120.6583000000001"/>
    <x v="0"/>
    <n v="2024"/>
    <x v="10"/>
    <x v="17"/>
    <n v="0.21379507727532915"/>
    <x v="17"/>
    <x v="17"/>
  </r>
  <r>
    <s v="ORD-10172"/>
    <x v="153"/>
    <s v="Richard Thompson"/>
    <x v="3"/>
    <s v="Yoga Mat"/>
    <x v="4"/>
    <n v="1"/>
    <n v="3755.8646999999996"/>
    <n v="15"/>
    <n v="3192.8162000000002"/>
    <n v="834.63659999999993"/>
    <x v="0"/>
    <n v="2024"/>
    <x v="0"/>
    <x v="0"/>
    <n v="0.2614107883817427"/>
    <x v="0"/>
    <x v="0"/>
  </r>
  <r>
    <s v="ORD-10173"/>
    <x v="47"/>
    <s v="Carol Johnson"/>
    <x v="3"/>
    <s v="Running Shoes"/>
    <x v="3"/>
    <n v="3"/>
    <n v="6321.2839999999997"/>
    <n v="10"/>
    <n v="17067.466800000002"/>
    <n v="8077.6167999999998"/>
    <x v="0"/>
    <n v="2025"/>
    <x v="6"/>
    <x v="20"/>
    <n v="0.47327567088046124"/>
    <x v="20"/>
    <x v="20"/>
  </r>
  <r>
    <s v="ORD-10174"/>
    <x v="154"/>
    <s v="William Williams"/>
    <x v="2"/>
    <s v="Athletic Socks"/>
    <x v="3"/>
    <n v="1"/>
    <n v="4315.1279999999997"/>
    <n v="0"/>
    <n v="4315.1279999999997"/>
    <n v="1991.9614999999999"/>
    <x v="0"/>
    <n v="2024"/>
    <x v="11"/>
    <x v="23"/>
    <n v="0.46162280701754388"/>
    <x v="23"/>
    <x v="23"/>
  </r>
  <r>
    <s v="ORD-10175"/>
    <x v="155"/>
    <s v="Richard Brown"/>
    <x v="3"/>
    <s v="Eye Cream"/>
    <x v="1"/>
    <n v="2"/>
    <n v="2431.991"/>
    <n v="5"/>
    <n v="4620.7828999999992"/>
    <n v="1903.9556"/>
    <x v="2"/>
    <n v="2025"/>
    <x v="1"/>
    <x v="1"/>
    <n v="0.4120417775957404"/>
    <x v="1"/>
    <x v="1"/>
  </r>
  <r>
    <s v="ORD-10176"/>
    <x v="156"/>
    <s v="Susan Johnson"/>
    <x v="1"/>
    <s v="Rain Jacket"/>
    <x v="3"/>
    <n v="1"/>
    <n v="6522.8459000000003"/>
    <n v="0"/>
    <n v="6522.8459000000003"/>
    <n v="2993.1468999999997"/>
    <x v="2"/>
    <n v="2024"/>
    <x v="2"/>
    <x v="2"/>
    <n v="0.45887131872914544"/>
    <x v="2"/>
    <x v="2"/>
  </r>
  <r>
    <s v="ORD-10177"/>
    <x v="123"/>
    <s v="William Davis"/>
    <x v="3"/>
    <s v="Yoga Mat"/>
    <x v="4"/>
    <n v="3"/>
    <n v="4257.4036999999998"/>
    <n v="10"/>
    <n v="11494.706099999999"/>
    <n v="2771.7126999999996"/>
    <x v="0"/>
    <n v="2025"/>
    <x v="2"/>
    <x v="9"/>
    <n v="0.2411294969951428"/>
    <x v="9"/>
    <x v="9"/>
  </r>
  <r>
    <s v="ORD-10178"/>
    <x v="157"/>
    <s v="Carol Sanchez"/>
    <x v="1"/>
    <s v="Lip Balm Set"/>
    <x v="1"/>
    <n v="2"/>
    <n v="4236.5851000000002"/>
    <n v="5"/>
    <n v="8049.2277999999997"/>
    <n v="3617.7048999999997"/>
    <x v="1"/>
    <n v="2024"/>
    <x v="8"/>
    <x v="12"/>
    <n v="0.44944744885962851"/>
    <x v="12"/>
    <x v="12"/>
  </r>
  <r>
    <s v="ORD-10179"/>
    <x v="158"/>
    <s v="Susan White"/>
    <x v="2"/>
    <s v="Cargo Shorts"/>
    <x v="3"/>
    <n v="4"/>
    <n v="8077.6167999999998"/>
    <n v="10"/>
    <n v="29079.798999999999"/>
    <n v="13234.005499999999"/>
    <x v="0"/>
    <n v="2024"/>
    <x v="3"/>
    <x v="3"/>
    <n v="0.45509274324764071"/>
    <x v="3"/>
    <x v="3"/>
  </r>
  <r>
    <s v="ORD-10180"/>
    <x v="74"/>
    <s v="Sandra Perez"/>
    <x v="3"/>
    <s v="Jump Rope"/>
    <x v="4"/>
    <n v="1"/>
    <n v="1459.1946"/>
    <n v="20"/>
    <n v="1167.7341999999999"/>
    <n v="259.28620000000001"/>
    <x v="0"/>
    <n v="2025"/>
    <x v="8"/>
    <x v="14"/>
    <n v="0.22204213938411674"/>
    <x v="14"/>
    <x v="14"/>
  </r>
  <r>
    <s v="ORD-10181"/>
    <x v="124"/>
    <s v="Elizabeth White"/>
    <x v="0"/>
    <s v="Jump Rope"/>
    <x v="4"/>
    <n v="4"/>
    <n v="5626.6997999999994"/>
    <n v="0"/>
    <n v="22506.799199999998"/>
    <n v="4666.2052999999996"/>
    <x v="0"/>
    <n v="2024"/>
    <x v="1"/>
    <x v="11"/>
    <n v="0.20732425159771276"/>
    <x v="11"/>
    <x v="11"/>
  </r>
  <r>
    <s v="ORD-10182"/>
    <x v="159"/>
    <s v="Michelle Thomas"/>
    <x v="3"/>
    <s v="Water Bottle"/>
    <x v="4"/>
    <n v="1"/>
    <n v="3113.3269999999998"/>
    <n v="20"/>
    <n v="2490.6615999999999"/>
    <n v="615.09500000000003"/>
    <x v="0"/>
    <n v="2025"/>
    <x v="5"/>
    <x v="5"/>
    <n v="0.24696048632218848"/>
    <x v="5"/>
    <x v="5"/>
  </r>
  <r>
    <s v="ORD-10183"/>
    <x v="160"/>
    <s v="Michael Jackson"/>
    <x v="4"/>
    <s v="Dumbbells 10lb"/>
    <x v="4"/>
    <n v="5"/>
    <n v="3488.0617999999999"/>
    <n v="0"/>
    <n v="17440.309000000001"/>
    <n v="5449.7417000000005"/>
    <x v="1"/>
    <n v="2025"/>
    <x v="10"/>
    <x v="21"/>
    <n v="0.3124796527400977"/>
    <x v="21"/>
    <x v="21"/>
  </r>
  <r>
    <s v="ORD-10184"/>
    <x v="19"/>
    <s v="Lisa Lewis"/>
    <x v="3"/>
    <s v="Perfume Travel"/>
    <x v="1"/>
    <n v="1"/>
    <n v="1712.8030000000001"/>
    <n v="10"/>
    <n v="1541.5226999999998"/>
    <n v="951.03150000000005"/>
    <x v="0"/>
    <n v="2025"/>
    <x v="1"/>
    <x v="1"/>
    <n v="0.61694290976058941"/>
    <x v="1"/>
    <x v="1"/>
  </r>
  <r>
    <s v="ORD-10185"/>
    <x v="14"/>
    <s v="Betty Martinez"/>
    <x v="3"/>
    <s v="Resistance Bands"/>
    <x v="4"/>
    <n v="1"/>
    <n v="2502.0171999999998"/>
    <n v="20"/>
    <n v="2001.4244999999999"/>
    <n v="618.88019999999995"/>
    <x v="0"/>
    <n v="2024"/>
    <x v="3"/>
    <x v="3"/>
    <n v="0.30921985815602837"/>
    <x v="3"/>
    <x v="3"/>
  </r>
  <r>
    <s v="ORD-10186"/>
    <x v="161"/>
    <s v="Mark Perez"/>
    <x v="0"/>
    <s v="Swim Goggles"/>
    <x v="4"/>
    <n v="3"/>
    <n v="4733.3926000000001"/>
    <n v="0"/>
    <n v="14200.177799999999"/>
    <n v="2264.4958999999999"/>
    <x v="1"/>
    <n v="2024"/>
    <x v="9"/>
    <x v="15"/>
    <n v="0.15946954551512729"/>
    <x v="15"/>
    <x v="15"/>
  </r>
  <r>
    <s v="ORD-10187"/>
    <x v="162"/>
    <s v="William Johnson"/>
    <x v="4"/>
    <s v="Keyboard Mechanical"/>
    <x v="0"/>
    <n v="2"/>
    <n v="12670.010699999999"/>
    <n v="5"/>
    <n v="24072.925699999996"/>
    <n v="5929.5157999999992"/>
    <x v="0"/>
    <n v="2024"/>
    <x v="4"/>
    <x v="4"/>
    <n v="0.24631471362868038"/>
    <x v="4"/>
    <x v="4"/>
  </r>
  <r>
    <s v="ORD-10188"/>
    <x v="163"/>
    <s v="Daniel Sanchez"/>
    <x v="3"/>
    <s v="Water Bottle"/>
    <x v="4"/>
    <n v="3"/>
    <n v="1279.3976"/>
    <n v="0"/>
    <n v="3838.1927999999998"/>
    <n v="1205.5862"/>
    <x v="1"/>
    <n v="2025"/>
    <x v="10"/>
    <x v="21"/>
    <n v="0.3141025641025641"/>
    <x v="21"/>
    <x v="21"/>
  </r>
  <r>
    <s v="ORD-10189"/>
    <x v="164"/>
    <s v="Sarah Jackson"/>
    <x v="1"/>
    <s v="Tablet Case"/>
    <x v="0"/>
    <n v="2"/>
    <n v="4158.9885000000004"/>
    <n v="0"/>
    <n v="8317.9770000000008"/>
    <n v="1931.3982999999998"/>
    <x v="0"/>
    <n v="2025"/>
    <x v="11"/>
    <x v="19"/>
    <n v="0.23219567690557447"/>
    <x v="19"/>
    <x v="19"/>
  </r>
  <r>
    <s v="ORD-10190"/>
    <x v="165"/>
    <s v="Nancy Martin"/>
    <x v="1"/>
    <s v="Athletic Socks"/>
    <x v="3"/>
    <n v="3"/>
    <n v="5945.6028999999999"/>
    <n v="5"/>
    <n v="16945.394099999998"/>
    <n v="8837.4956999999995"/>
    <x v="0"/>
    <n v="2025"/>
    <x v="7"/>
    <x v="8"/>
    <n v="0.52152789411961809"/>
    <x v="8"/>
    <x v="8"/>
  </r>
  <r>
    <s v="ORD-10191"/>
    <x v="166"/>
    <s v="Joshua Brown"/>
    <x v="4"/>
    <s v="Foam Roller"/>
    <x v="4"/>
    <n v="1"/>
    <n v="2799.1553999999996"/>
    <n v="10"/>
    <n v="2519.0506"/>
    <n v="531.82060000000001"/>
    <x v="0"/>
    <n v="2024"/>
    <x v="7"/>
    <x v="10"/>
    <n v="0.21111945905334337"/>
    <x v="10"/>
    <x v="10"/>
  </r>
  <r>
    <s v="ORD-10192"/>
    <x v="167"/>
    <s v="Michelle Johnson"/>
    <x v="0"/>
    <s v="Knife Set"/>
    <x v="2"/>
    <n v="2"/>
    <n v="2355.3406999999997"/>
    <n v="0"/>
    <n v="4710.6813999999995"/>
    <n v="1413.7721999999999"/>
    <x v="0"/>
    <n v="2024"/>
    <x v="10"/>
    <x v="17"/>
    <n v="0.30012053033346725"/>
    <x v="17"/>
    <x v="17"/>
  </r>
  <r>
    <s v="ORD-10193"/>
    <x v="168"/>
    <s v="Steven Ramirez"/>
    <x v="3"/>
    <s v="Tennis Balls"/>
    <x v="4"/>
    <n v="1"/>
    <n v="1507.4558999999999"/>
    <n v="0"/>
    <n v="1507.4558999999999"/>
    <n v="401.2312"/>
    <x v="1"/>
    <n v="2025"/>
    <x v="10"/>
    <x v="21"/>
    <n v="0.26616446955430006"/>
    <x v="21"/>
    <x v="21"/>
  </r>
  <r>
    <s v="ORD-10194"/>
    <x v="169"/>
    <s v="Sarah Hernandez"/>
    <x v="0"/>
    <s v="Perfume Travel"/>
    <x v="1"/>
    <n v="2"/>
    <n v="2354.3943999999997"/>
    <n v="0"/>
    <n v="4708.7887999999994"/>
    <n v="2164.1880999999998"/>
    <x v="1"/>
    <n v="2025"/>
    <x v="6"/>
    <x v="20"/>
    <n v="0.45960610932475887"/>
    <x v="20"/>
    <x v="20"/>
  </r>
  <r>
    <s v="ORD-10195"/>
    <x v="170"/>
    <s v="William Harris"/>
    <x v="1"/>
    <s v="Mouse Wireless"/>
    <x v="0"/>
    <n v="4"/>
    <n v="7865.6455999999998"/>
    <n v="10"/>
    <n v="28316.134900000001"/>
    <n v="6405.5046999999995"/>
    <x v="1"/>
    <n v="2024"/>
    <x v="3"/>
    <x v="3"/>
    <n v="0.226213949136116"/>
    <x v="3"/>
    <x v="3"/>
  </r>
  <r>
    <s v="ORD-10196"/>
    <x v="171"/>
    <s v="Kenneth Harris"/>
    <x v="3"/>
    <s v="Foam Roller"/>
    <x v="4"/>
    <n v="1"/>
    <n v="5333.3467999999993"/>
    <n v="10"/>
    <n v="4799.6336000000001"/>
    <n v="1172.4657"/>
    <x v="0"/>
    <n v="2024"/>
    <x v="4"/>
    <x v="4"/>
    <n v="0.24428233438485802"/>
    <x v="4"/>
    <x v="4"/>
  </r>
  <r>
    <s v="ORD-10197"/>
    <x v="172"/>
    <s v="Michelle Sanchez"/>
    <x v="0"/>
    <s v="Cotton T-Shirt"/>
    <x v="3"/>
    <n v="3"/>
    <n v="4759.8889999999992"/>
    <n v="5"/>
    <n v="13565.210499999999"/>
    <n v="4749.4796999999999"/>
    <x v="0"/>
    <n v="2025"/>
    <x v="3"/>
    <x v="7"/>
    <n v="0.35012207882804325"/>
    <x v="7"/>
    <x v="7"/>
  </r>
  <r>
    <s v="ORD-10198"/>
    <x v="173"/>
    <s v="Christopher Garcia"/>
    <x v="1"/>
    <s v="Water Bottle"/>
    <x v="4"/>
    <n v="1"/>
    <n v="3926.1986999999999"/>
    <n v="0"/>
    <n v="3926.1986999999999"/>
    <n v="1233.0288999999998"/>
    <x v="0"/>
    <n v="2025"/>
    <x v="5"/>
    <x v="5"/>
    <n v="0.31405157869366107"/>
    <x v="5"/>
    <x v="5"/>
  </r>
  <r>
    <s v="ORD-10199"/>
    <x v="174"/>
    <s v="Kevin Lee"/>
    <x v="1"/>
    <s v="Yoga Mat"/>
    <x v="4"/>
    <n v="1"/>
    <n v="1368.3498"/>
    <n v="0"/>
    <n v="1368.3498"/>
    <n v="258.3399"/>
    <x v="1"/>
    <n v="2025"/>
    <x v="5"/>
    <x v="5"/>
    <n v="0.18879668049792531"/>
    <x v="5"/>
    <x v="5"/>
  </r>
  <r>
    <s v="ORD-10200"/>
    <x v="170"/>
    <s v="Michelle Ramirez"/>
    <x v="1"/>
    <s v="Gym Bag"/>
    <x v="4"/>
    <n v="2"/>
    <n v="3576.0676999999996"/>
    <n v="5"/>
    <n v="6794.4339999999993"/>
    <n v="1794.1848"/>
    <x v="0"/>
    <n v="2024"/>
    <x v="3"/>
    <x v="3"/>
    <n v="0.26406685236768807"/>
    <x v="3"/>
    <x v="3"/>
  </r>
  <r>
    <s v="ORD-10201"/>
    <x v="175"/>
    <s v="Jennifer Garcia"/>
    <x v="0"/>
    <s v="Portable Charger"/>
    <x v="0"/>
    <n v="1"/>
    <n v="10224.771499999999"/>
    <n v="5"/>
    <n v="9713.7695000000003"/>
    <n v="2422.5279999999998"/>
    <x v="0"/>
    <n v="2024"/>
    <x v="8"/>
    <x v="12"/>
    <n v="0.24939113492450071"/>
    <x v="12"/>
    <x v="12"/>
  </r>
  <r>
    <s v="ORD-10202"/>
    <x v="165"/>
    <s v="Dorothy Davis"/>
    <x v="0"/>
    <s v="Blender"/>
    <x v="2"/>
    <n v="1"/>
    <n v="7444.5420999999997"/>
    <n v="10"/>
    <n v="6699.8039999999992"/>
    <n v="1931.3982999999998"/>
    <x v="0"/>
    <n v="2025"/>
    <x v="7"/>
    <x v="8"/>
    <n v="0.28827683615819211"/>
    <x v="8"/>
    <x v="8"/>
  </r>
  <r>
    <s v="ORD-10203"/>
    <x v="176"/>
    <s v="Barbara Lopez"/>
    <x v="2"/>
    <s v="USB-C Hub"/>
    <x v="0"/>
    <n v="2"/>
    <n v="6780.2395000000006"/>
    <n v="0"/>
    <n v="13560.479000000001"/>
    <n v="1659.8101999999999"/>
    <x v="1"/>
    <n v="2025"/>
    <x v="0"/>
    <x v="13"/>
    <n v="0.12240055826936495"/>
    <x v="13"/>
    <x v="13"/>
  </r>
  <r>
    <s v="ORD-10204"/>
    <x v="177"/>
    <s v="Sandra Harris"/>
    <x v="4"/>
    <s v="Scented Candle Set"/>
    <x v="2"/>
    <n v="1"/>
    <n v="5918.1601999999993"/>
    <n v="25"/>
    <n v="4439.0932999999995"/>
    <n v="1119.4729"/>
    <x v="0"/>
    <n v="2024"/>
    <x v="6"/>
    <x v="6"/>
    <n v="0.25218503517373697"/>
    <x v="6"/>
    <x v="6"/>
  </r>
  <r>
    <s v="ORD-10205"/>
    <x v="11"/>
    <s v="Andrew Harris"/>
    <x v="1"/>
    <s v="Pillow Set"/>
    <x v="2"/>
    <n v="1"/>
    <n v="4524.2602999999999"/>
    <n v="10"/>
    <n v="4071.9288999999999"/>
    <n v="1242.4919"/>
    <x v="0"/>
    <n v="2025"/>
    <x v="5"/>
    <x v="5"/>
    <n v="0.30513595166163143"/>
    <x v="5"/>
    <x v="5"/>
  </r>
  <r>
    <s v="ORD-10206"/>
    <x v="97"/>
    <s v="Mark Davis"/>
    <x v="4"/>
    <s v="Eye Cream"/>
    <x v="1"/>
    <n v="5"/>
    <n v="2741.4310999999998"/>
    <n v="20"/>
    <n v="10965.724399999999"/>
    <n v="6533.2552000000005"/>
    <x v="0"/>
    <n v="2024"/>
    <x v="2"/>
    <x v="2"/>
    <n v="0.59578874697963424"/>
    <x v="2"/>
    <x v="2"/>
  </r>
  <r>
    <s v="ORD-10207"/>
    <x v="46"/>
    <s v="Robert Perez"/>
    <x v="1"/>
    <s v="Tennis Balls"/>
    <x v="4"/>
    <n v="1"/>
    <n v="3569.4435999999996"/>
    <n v="20"/>
    <n v="2855.9333999999999"/>
    <n v="638.75249999999994"/>
    <x v="0"/>
    <n v="2025"/>
    <x v="10"/>
    <x v="21"/>
    <n v="0.22365805168986083"/>
    <x v="21"/>
    <x v="21"/>
  </r>
  <r>
    <s v="ORD-10208"/>
    <x v="154"/>
    <s v="Mark Moore"/>
    <x v="0"/>
    <s v="Tablet Case"/>
    <x v="0"/>
    <n v="1"/>
    <n v="11524.0414"/>
    <n v="5"/>
    <n v="10947.744699999999"/>
    <n v="1374.9739"/>
    <x v="1"/>
    <n v="2024"/>
    <x v="11"/>
    <x v="23"/>
    <n v="0.12559426052381364"/>
    <x v="23"/>
    <x v="23"/>
  </r>
  <r>
    <s v="ORD-10209"/>
    <x v="76"/>
    <s v="Linda Hernandez"/>
    <x v="3"/>
    <s v="Mouse Wireless"/>
    <x v="0"/>
    <n v="1"/>
    <n v="2444.2928999999999"/>
    <n v="0"/>
    <n v="2444.2928999999999"/>
    <n v="214.81009999999998"/>
    <x v="1"/>
    <n v="2025"/>
    <x v="8"/>
    <x v="14"/>
    <n v="8.7882307394502507E-2"/>
    <x v="14"/>
    <x v="14"/>
  </r>
  <r>
    <s v="ORD-10210"/>
    <x v="118"/>
    <s v="Anthony Lopez"/>
    <x v="0"/>
    <s v="Pillow Set"/>
    <x v="2"/>
    <n v="1"/>
    <n v="1498.9392"/>
    <n v="0"/>
    <n v="1498.9392"/>
    <n v="530.87429999999995"/>
    <x v="0"/>
    <n v="2024"/>
    <x v="1"/>
    <x v="11"/>
    <n v="0.35416666666666663"/>
    <x v="11"/>
    <x v="11"/>
  </r>
  <r>
    <s v="ORD-10211"/>
    <x v="178"/>
    <s v="James Smith"/>
    <x v="2"/>
    <s v="Eye Cream"/>
    <x v="1"/>
    <n v="5"/>
    <n v="3285.5535999999997"/>
    <n v="10"/>
    <n v="14784.9912"/>
    <n v="6629.7777999999998"/>
    <x v="1"/>
    <n v="2025"/>
    <x v="0"/>
    <x v="13"/>
    <n v="0.44841269841269837"/>
    <x v="13"/>
    <x v="13"/>
  </r>
  <r>
    <s v="ORD-10212"/>
    <x v="179"/>
    <s v="Linda Johnson"/>
    <x v="3"/>
    <s v="Mouse Wireless"/>
    <x v="0"/>
    <n v="1"/>
    <n v="8514.8073999999997"/>
    <n v="0"/>
    <n v="8514.8073999999997"/>
    <n v="1084.4598000000001"/>
    <x v="0"/>
    <n v="2024"/>
    <x v="11"/>
    <x v="23"/>
    <n v="0.12736163591909314"/>
    <x v="23"/>
    <x v="23"/>
  </r>
  <r>
    <s v="ORD-10213"/>
    <x v="180"/>
    <s v="Donald Wilson"/>
    <x v="4"/>
    <s v="Knife Set"/>
    <x v="2"/>
    <n v="1"/>
    <n v="4398.4023999999999"/>
    <n v="0"/>
    <n v="4398.4023999999999"/>
    <n v="1399.5776999999998"/>
    <x v="0"/>
    <n v="2024"/>
    <x v="8"/>
    <x v="12"/>
    <n v="0.31820137693631667"/>
    <x v="12"/>
    <x v="12"/>
  </r>
  <r>
    <s v="ORD-10214"/>
    <x v="157"/>
    <s v="Ashley Moore"/>
    <x v="1"/>
    <s v="Cycling Gloves"/>
    <x v="4"/>
    <n v="2"/>
    <n v="3848.6021000000001"/>
    <n v="15"/>
    <n v="6542.7181999999993"/>
    <n v="1170.5730999999998"/>
    <x v="0"/>
    <n v="2024"/>
    <x v="8"/>
    <x v="12"/>
    <n v="0.17891235175007231"/>
    <x v="12"/>
    <x v="12"/>
  </r>
  <r>
    <s v="ORD-10215"/>
    <x v="181"/>
    <s v="Michelle Thompson"/>
    <x v="0"/>
    <s v="Foam Roller"/>
    <x v="4"/>
    <n v="1"/>
    <n v="5445.9564999999993"/>
    <n v="15"/>
    <n v="4629.2996000000003"/>
    <n v="1019.1650999999999"/>
    <x v="0"/>
    <n v="2025"/>
    <x v="5"/>
    <x v="5"/>
    <n v="0.22015535568274733"/>
    <x v="5"/>
    <x v="5"/>
  </r>
  <r>
    <s v="ORD-10216"/>
    <x v="182"/>
    <s v="Steven Davis"/>
    <x v="0"/>
    <s v="Jump Rope"/>
    <x v="4"/>
    <n v="1"/>
    <n v="5564.2439999999997"/>
    <n v="5"/>
    <n v="5286.0317999999997"/>
    <n v="1261.4178999999999"/>
    <x v="1"/>
    <n v="2025"/>
    <x v="4"/>
    <x v="16"/>
    <n v="0.23863229502327246"/>
    <x v="16"/>
    <x v="16"/>
  </r>
  <r>
    <s v="ORD-10217"/>
    <x v="156"/>
    <s v="Donald Smith"/>
    <x v="1"/>
    <s v="Dumbbells 10lb"/>
    <x v="4"/>
    <n v="2"/>
    <n v="4401.2412999999997"/>
    <n v="0"/>
    <n v="8802.4825999999994"/>
    <n v="2174.5974000000001"/>
    <x v="1"/>
    <n v="2024"/>
    <x v="2"/>
    <x v="2"/>
    <n v="0.2470436465276285"/>
    <x v="2"/>
    <x v="2"/>
  </r>
  <r>
    <s v="ORD-10218"/>
    <x v="42"/>
    <s v="David Wilson"/>
    <x v="2"/>
    <s v="Cutting Board"/>
    <x v="2"/>
    <n v="5"/>
    <n v="6766.0450000000001"/>
    <n v="0"/>
    <n v="33830.224999999999"/>
    <n v="11245.8292"/>
    <x v="0"/>
    <n v="2024"/>
    <x v="2"/>
    <x v="2"/>
    <n v="0.33241958041958042"/>
    <x v="2"/>
    <x v="2"/>
  </r>
  <r>
    <s v="ORD-10219"/>
    <x v="48"/>
    <s v="Robert Brown"/>
    <x v="3"/>
    <s v="Jump Rope"/>
    <x v="4"/>
    <n v="1"/>
    <n v="3085.8842999999997"/>
    <n v="10"/>
    <n v="2777.3905"/>
    <n v="885.7367999999999"/>
    <x v="1"/>
    <n v="2024"/>
    <x v="0"/>
    <x v="0"/>
    <n v="0.31890971039182281"/>
    <x v="0"/>
    <x v="0"/>
  </r>
  <r>
    <s v="ORD-10220"/>
    <x v="50"/>
    <s v="Linda Anderson"/>
    <x v="2"/>
    <s v="Denim Jacket"/>
    <x v="3"/>
    <n v="2"/>
    <n v="5935.1935999999996"/>
    <n v="5"/>
    <n v="11277.0571"/>
    <n v="4420.1673000000001"/>
    <x v="0"/>
    <n v="2025"/>
    <x v="4"/>
    <x v="16"/>
    <n v="0.39196106402618108"/>
    <x v="16"/>
    <x v="16"/>
  </r>
  <r>
    <s v="ORD-10221"/>
    <x v="183"/>
    <s v="Karen Williams"/>
    <x v="4"/>
    <s v="Scented Candle Set"/>
    <x v="2"/>
    <n v="1"/>
    <n v="3409.5189"/>
    <n v="15"/>
    <n v="2898.5168999999996"/>
    <n v="1121.3654999999999"/>
    <x v="1"/>
    <n v="2025"/>
    <x v="7"/>
    <x v="8"/>
    <n v="0.38687561214495592"/>
    <x v="8"/>
    <x v="8"/>
  </r>
  <r>
    <s v="ORD-10222"/>
    <x v="184"/>
    <s v="Jennifer Lopez"/>
    <x v="3"/>
    <s v="Shampoo Organic"/>
    <x v="1"/>
    <n v="2"/>
    <n v="2144.3157999999999"/>
    <n v="5"/>
    <n v="4073.8214999999996"/>
    <n v="2480.2523000000001"/>
    <x v="1"/>
    <n v="2025"/>
    <x v="3"/>
    <x v="7"/>
    <n v="0.6088269454123113"/>
    <x v="7"/>
    <x v="7"/>
  </r>
  <r>
    <s v="ORD-10223"/>
    <x v="185"/>
    <s v="Betty Ramirez"/>
    <x v="0"/>
    <s v="Perfume Travel"/>
    <x v="1"/>
    <n v="3"/>
    <n v="2432.9373000000001"/>
    <n v="0"/>
    <n v="7298.8118999999988"/>
    <n v="4663.3663999999999"/>
    <x v="0"/>
    <n v="2024"/>
    <x v="9"/>
    <x v="15"/>
    <n v="0.63892130169843131"/>
    <x v="15"/>
    <x v="15"/>
  </r>
  <r>
    <s v="ORD-10224"/>
    <x v="186"/>
    <s v="Joseph Thompson"/>
    <x v="3"/>
    <s v="Smart Watch"/>
    <x v="0"/>
    <n v="1"/>
    <n v="12543.2065"/>
    <n v="5"/>
    <n v="11915.809599999999"/>
    <n v="1706.1789000000001"/>
    <x v="0"/>
    <n v="2024"/>
    <x v="5"/>
    <x v="18"/>
    <n v="0.14318614993646761"/>
    <x v="18"/>
    <x v="18"/>
  </r>
  <r>
    <s v="ORD-10225"/>
    <x v="187"/>
    <s v="Karen Lee"/>
    <x v="3"/>
    <s v="Throw Blanket"/>
    <x v="2"/>
    <n v="2"/>
    <n v="2967.5967999999998"/>
    <n v="0"/>
    <n v="5935.1935999999996"/>
    <n v="1352.2626999999998"/>
    <x v="1"/>
    <n v="2025"/>
    <x v="5"/>
    <x v="5"/>
    <n v="0.22783801020408162"/>
    <x v="5"/>
    <x v="5"/>
  </r>
  <r>
    <s v="ORD-10226"/>
    <x v="93"/>
    <s v="Barbara Brown"/>
    <x v="4"/>
    <s v="Nail Polish Set"/>
    <x v="1"/>
    <n v="2"/>
    <n v="2690.3308999999999"/>
    <n v="15"/>
    <n v="4573.4678999999996"/>
    <n v="2007.1023"/>
    <x v="0"/>
    <n v="2024"/>
    <x v="0"/>
    <x v="0"/>
    <n v="0.43885785226567353"/>
    <x v="0"/>
    <x v="0"/>
  </r>
  <r>
    <s v="ORD-10227"/>
    <x v="188"/>
    <s v="Joseph Moore"/>
    <x v="0"/>
    <s v="Pillow Set"/>
    <x v="2"/>
    <n v="4"/>
    <n v="4046.3787999999995"/>
    <n v="0"/>
    <n v="16185.515199999998"/>
    <n v="3998.1174999999998"/>
    <x v="1"/>
    <n v="2024"/>
    <x v="7"/>
    <x v="10"/>
    <n v="0.24701824134705333"/>
    <x v="10"/>
    <x v="10"/>
  </r>
  <r>
    <s v="ORD-10228"/>
    <x v="78"/>
    <s v="Matthew Brown"/>
    <x v="4"/>
    <s v="Coffee Maker"/>
    <x v="2"/>
    <n v="2"/>
    <n v="5498.9492999999993"/>
    <n v="5"/>
    <n v="10448.0983"/>
    <n v="3420.8744999999999"/>
    <x v="0"/>
    <n v="2025"/>
    <x v="2"/>
    <x v="9"/>
    <n v="0.32741599492799567"/>
    <x v="9"/>
    <x v="9"/>
  </r>
  <r>
    <s v="ORD-10229"/>
    <x v="15"/>
    <s v="Sandra Robinson"/>
    <x v="3"/>
    <s v="Perfume Travel"/>
    <x v="1"/>
    <n v="4"/>
    <n v="1368.3498"/>
    <n v="10"/>
    <n v="4926.4377999999997"/>
    <n v="2142.4231999999997"/>
    <x v="1"/>
    <n v="2024"/>
    <x v="0"/>
    <x v="0"/>
    <n v="0.43488282750672297"/>
    <x v="0"/>
    <x v="0"/>
  </r>
  <r>
    <s v="ORD-10230"/>
    <x v="91"/>
    <s v="Christopher Anderson"/>
    <x v="3"/>
    <s v="Water Bottle"/>
    <x v="4"/>
    <n v="3"/>
    <n v="3433.1763999999998"/>
    <n v="10"/>
    <n v="9269.9547999999995"/>
    <n v="2837.0074"/>
    <x v="0"/>
    <n v="2024"/>
    <x v="4"/>
    <x v="4"/>
    <n v="0.30604328297264188"/>
    <x v="4"/>
    <x v="4"/>
  </r>
  <r>
    <s v="ORD-10231"/>
    <x v="189"/>
    <s v="Steven Brown"/>
    <x v="4"/>
    <s v="Running Shoes"/>
    <x v="3"/>
    <n v="5"/>
    <n v="4972.8064999999997"/>
    <n v="0"/>
    <n v="24864.032499999998"/>
    <n v="8537.5185999999994"/>
    <x v="1"/>
    <n v="2024"/>
    <x v="7"/>
    <x v="10"/>
    <n v="0.34336822074215034"/>
    <x v="10"/>
    <x v="10"/>
  </r>
  <r>
    <s v="ORD-10232"/>
    <x v="190"/>
    <s v="Carol Johnson"/>
    <x v="4"/>
    <s v="Denim Jacket"/>
    <x v="3"/>
    <n v="2"/>
    <n v="4806.2577000000001"/>
    <n v="5"/>
    <n v="9131.7950000000001"/>
    <n v="4114.5123999999996"/>
    <x v="1"/>
    <n v="2024"/>
    <x v="4"/>
    <x v="4"/>
    <n v="0.45056994818652846"/>
    <x v="4"/>
    <x v="4"/>
  </r>
  <r>
    <s v="ORD-10233"/>
    <x v="103"/>
    <s v="Karen Perez"/>
    <x v="0"/>
    <s v="Yoga Mat"/>
    <x v="4"/>
    <n v="3"/>
    <n v="2954.3485999999998"/>
    <n v="10"/>
    <n v="7976.3627000000006"/>
    <n v="2113.0878999999995"/>
    <x v="0"/>
    <n v="2024"/>
    <x v="10"/>
    <x v="17"/>
    <n v="0.26491873294578233"/>
    <x v="17"/>
    <x v="17"/>
  </r>
  <r>
    <s v="ORD-10234"/>
    <x v="42"/>
    <s v="Robert Lee"/>
    <x v="2"/>
    <s v="Keyboard Mechanical"/>
    <x v="0"/>
    <n v="1"/>
    <n v="2268.2810999999997"/>
    <n v="0"/>
    <n v="2268.2810999999997"/>
    <n v="552.63919999999996"/>
    <x v="0"/>
    <n v="2024"/>
    <x v="2"/>
    <x v="2"/>
    <n v="0.2436378806841886"/>
    <x v="2"/>
    <x v="2"/>
  </r>
  <r>
    <s v="ORD-10235"/>
    <x v="191"/>
    <s v="Michael Clark"/>
    <x v="1"/>
    <s v="USB-C Hub"/>
    <x v="0"/>
    <n v="1"/>
    <n v="8501.5591999999997"/>
    <n v="25"/>
    <n v="6376.1693999999989"/>
    <n v="626.45060000000001"/>
    <x v="0"/>
    <n v="2025"/>
    <x v="9"/>
    <x v="22"/>
    <n v="9.8248738498070656E-2"/>
    <x v="22"/>
    <x v="22"/>
  </r>
  <r>
    <s v="ORD-10236"/>
    <x v="192"/>
    <s v="Daniel Williams"/>
    <x v="1"/>
    <s v="Storage Bins"/>
    <x v="2"/>
    <n v="2"/>
    <n v="2482.1448999999998"/>
    <n v="15"/>
    <n v="4219.5517"/>
    <n v="1412.8258999999998"/>
    <x v="1"/>
    <n v="2024"/>
    <x v="2"/>
    <x v="2"/>
    <n v="0.33482843686925318"/>
    <x v="2"/>
    <x v="2"/>
  </r>
  <r>
    <s v="ORD-10237"/>
    <x v="193"/>
    <s v="Sarah Sanchez"/>
    <x v="0"/>
    <s v="Blender"/>
    <x v="2"/>
    <n v="1"/>
    <n v="2478.3597"/>
    <n v="0"/>
    <n v="2478.3597"/>
    <n v="792.05309999999986"/>
    <x v="2"/>
    <n v="2024"/>
    <x v="9"/>
    <x v="15"/>
    <n v="0.3195876288659793"/>
    <x v="15"/>
    <x v="15"/>
  </r>
  <r>
    <s v="ORD-10238"/>
    <x v="194"/>
    <s v="Donald Sanchez"/>
    <x v="4"/>
    <s v="Knife Set"/>
    <x v="2"/>
    <n v="1"/>
    <n v="4094.6401000000001"/>
    <n v="10"/>
    <n v="3684.8921999999998"/>
    <n v="1198.9621"/>
    <x v="0"/>
    <n v="2024"/>
    <x v="9"/>
    <x v="15"/>
    <n v="0.32537236774524914"/>
    <x v="15"/>
    <x v="15"/>
  </r>
  <r>
    <s v="ORD-10239"/>
    <x v="65"/>
    <s v="Sarah Johnson"/>
    <x v="2"/>
    <s v="Athletic Socks"/>
    <x v="3"/>
    <n v="2"/>
    <n v="1561.395"/>
    <n v="20"/>
    <n v="2498.232"/>
    <n v="792.05309999999986"/>
    <x v="0"/>
    <n v="2024"/>
    <x v="4"/>
    <x v="4"/>
    <n v="0.31704545454545452"/>
    <x v="4"/>
    <x v="4"/>
  </r>
  <r>
    <s v="ORD-10240"/>
    <x v="195"/>
    <s v="James Harris"/>
    <x v="2"/>
    <s v="Storage Bins"/>
    <x v="2"/>
    <n v="1"/>
    <n v="1497.0465999999999"/>
    <n v="5"/>
    <n v="1422.2888999999998"/>
    <n v="540.33730000000003"/>
    <x v="0"/>
    <n v="2025"/>
    <x v="8"/>
    <x v="14"/>
    <n v="0.37990685296074528"/>
    <x v="14"/>
    <x v="14"/>
  </r>
  <r>
    <s v="ORD-10241"/>
    <x v="196"/>
    <s v="Donna Davis"/>
    <x v="3"/>
    <s v="Resistance Bands"/>
    <x v="4"/>
    <n v="1"/>
    <n v="5024.8530000000001"/>
    <n v="0"/>
    <n v="5024.8530000000001"/>
    <n v="1645.6157000000001"/>
    <x v="0"/>
    <n v="2024"/>
    <x v="6"/>
    <x v="6"/>
    <n v="0.32749529190207155"/>
    <x v="6"/>
    <x v="6"/>
  </r>
  <r>
    <s v="ORD-10242"/>
    <x v="197"/>
    <s v="Joshua Williams"/>
    <x v="4"/>
    <s v="Resistance Bands"/>
    <x v="4"/>
    <n v="3"/>
    <n v="2116.8730999999998"/>
    <n v="0"/>
    <n v="6350.6192999999994"/>
    <n v="999.29279999999994"/>
    <x v="2"/>
    <n v="2025"/>
    <x v="9"/>
    <x v="22"/>
    <n v="0.15735359856951275"/>
    <x v="22"/>
    <x v="22"/>
  </r>
  <r>
    <s v="ORD-10243"/>
    <x v="198"/>
    <s v="Lisa Wilson"/>
    <x v="4"/>
    <s v="Blender"/>
    <x v="2"/>
    <n v="1"/>
    <n v="2004.2633999999998"/>
    <n v="25"/>
    <n v="1503.6706999999999"/>
    <n v="568.72629999999992"/>
    <x v="1"/>
    <n v="2025"/>
    <x v="11"/>
    <x v="19"/>
    <n v="0.37822529893014473"/>
    <x v="19"/>
    <x v="19"/>
  </r>
  <r>
    <s v="ORD-10244"/>
    <x v="199"/>
    <s v="Kimberly Martin"/>
    <x v="0"/>
    <s v="Pillow Set"/>
    <x v="2"/>
    <n v="2"/>
    <n v="2694.1160999999997"/>
    <n v="0"/>
    <n v="5388.2321999999995"/>
    <n v="1429.8592999999998"/>
    <x v="0"/>
    <n v="2025"/>
    <x v="3"/>
    <x v="7"/>
    <n v="0.26536705303828589"/>
    <x v="7"/>
    <x v="7"/>
  </r>
  <r>
    <s v="ORD-10245"/>
    <x v="200"/>
    <s v="Elizabeth Jackson"/>
    <x v="3"/>
    <s v="Smart Watch"/>
    <x v="0"/>
    <n v="2"/>
    <n v="2352.5018"/>
    <n v="10"/>
    <n v="4234.6925000000001"/>
    <n v="489.2371"/>
    <x v="0"/>
    <n v="2024"/>
    <x v="9"/>
    <x v="15"/>
    <n v="0.11553072625698324"/>
    <x v="15"/>
    <x v="15"/>
  </r>
  <r>
    <s v="ORD-10246"/>
    <x v="118"/>
    <s v="Michelle Miller"/>
    <x v="1"/>
    <s v="Swim Goggles"/>
    <x v="4"/>
    <n v="2"/>
    <n v="3503.2026000000001"/>
    <n v="0"/>
    <n v="7006.4052000000001"/>
    <n v="1239.653"/>
    <x v="0"/>
    <n v="2024"/>
    <x v="1"/>
    <x v="11"/>
    <n v="0.17693138843868178"/>
    <x v="11"/>
    <x v="11"/>
  </r>
  <r>
    <s v="ORD-10247"/>
    <x v="201"/>
    <s v="Matthew Brown"/>
    <x v="0"/>
    <s v="Gym Bag"/>
    <x v="4"/>
    <n v="1"/>
    <n v="2167.0269999999996"/>
    <n v="0"/>
    <n v="2167.0269999999996"/>
    <n v="501.53899999999999"/>
    <x v="1"/>
    <n v="2025"/>
    <x v="3"/>
    <x v="7"/>
    <n v="0.23144104803493454"/>
    <x v="7"/>
    <x v="7"/>
  </r>
  <r>
    <s v="ORD-10248"/>
    <x v="202"/>
    <s v="Jennifer Wilson"/>
    <x v="4"/>
    <s v="Cargo Shorts"/>
    <x v="3"/>
    <n v="3"/>
    <n v="3583.6380999999997"/>
    <n v="5"/>
    <n v="10213.4159"/>
    <n v="3107.6492000000003"/>
    <x v="0"/>
    <n v="2025"/>
    <x v="3"/>
    <x v="7"/>
    <n v="0.3042712869452423"/>
    <x v="7"/>
    <x v="7"/>
  </r>
  <r>
    <s v="ORD-10249"/>
    <x v="203"/>
    <s v="Mary Ramirez"/>
    <x v="0"/>
    <s v="Yoga Pants"/>
    <x v="3"/>
    <n v="1"/>
    <n v="2472.6818999999996"/>
    <n v="5"/>
    <n v="2348.7165999999997"/>
    <n v="1237.7603999999999"/>
    <x v="0"/>
    <n v="2024"/>
    <x v="7"/>
    <x v="10"/>
    <n v="0.52699435938759065"/>
    <x v="10"/>
    <x v="10"/>
  </r>
  <r>
    <s v="ORD-10250"/>
    <x v="204"/>
    <s v="Jennifer Clark"/>
    <x v="0"/>
    <s v="Smart Watch"/>
    <x v="0"/>
    <n v="1"/>
    <n v="6351.5655999999999"/>
    <n v="10"/>
    <n v="5716.5982999999997"/>
    <n v="1299.2699"/>
    <x v="1"/>
    <n v="2024"/>
    <x v="11"/>
    <x v="23"/>
    <n v="0.22728025161397122"/>
    <x v="23"/>
    <x v="23"/>
  </r>
  <r>
    <s v="ORD-10251"/>
    <x v="205"/>
    <s v="Sarah Clark"/>
    <x v="2"/>
    <s v="Polo Shirt"/>
    <x v="3"/>
    <n v="1"/>
    <n v="7217.4300999999996"/>
    <n v="0"/>
    <n v="7217.4300999999996"/>
    <n v="3002.6098999999999"/>
    <x v="1"/>
    <n v="2025"/>
    <x v="7"/>
    <x v="8"/>
    <n v="0.41602202700930907"/>
    <x v="8"/>
    <x v="8"/>
  </r>
  <r>
    <s v="ORD-10252"/>
    <x v="206"/>
    <s v="Kimberly Martin"/>
    <x v="4"/>
    <s v="USB-C Hub"/>
    <x v="0"/>
    <n v="2"/>
    <n v="9013.5074999999997"/>
    <n v="20"/>
    <n v="14421.611999999999"/>
    <n v="2408.3334999999997"/>
    <x v="1"/>
    <n v="2024"/>
    <x v="9"/>
    <x v="15"/>
    <n v="0.16699475065616798"/>
    <x v="15"/>
    <x v="15"/>
  </r>
  <r>
    <s v="ORD-10253"/>
    <x v="58"/>
    <s v="Dorothy Thomas"/>
    <x v="2"/>
    <s v="Gym Bag"/>
    <x v="4"/>
    <n v="1"/>
    <n v="2506.7486999999996"/>
    <n v="0"/>
    <n v="2506.7486999999996"/>
    <n v="780.69749999999999"/>
    <x v="0"/>
    <n v="2025"/>
    <x v="3"/>
    <x v="7"/>
    <n v="0.3114382785956965"/>
    <x v="7"/>
    <x v="7"/>
  </r>
  <r>
    <s v="ORD-10254"/>
    <x v="207"/>
    <s v="Michelle Jackson"/>
    <x v="3"/>
    <s v="Hair Oil"/>
    <x v="1"/>
    <n v="2"/>
    <n v="4121.1364999999996"/>
    <n v="0"/>
    <n v="8242.2729999999992"/>
    <n v="5046.6178999999993"/>
    <x v="1"/>
    <n v="2024"/>
    <x v="6"/>
    <x v="6"/>
    <n v="0.61228473019517793"/>
    <x v="6"/>
    <x v="6"/>
  </r>
  <r>
    <s v="ORD-10255"/>
    <x v="208"/>
    <s v="Robert Smith"/>
    <x v="4"/>
    <s v="Lip Balm Set"/>
    <x v="1"/>
    <n v="3"/>
    <n v="3227.8292999999999"/>
    <n v="5"/>
    <n v="9198.9822999999997"/>
    <n v="5591.6867000000002"/>
    <x v="0"/>
    <n v="2024"/>
    <x v="6"/>
    <x v="6"/>
    <n v="0.60785927373726989"/>
    <x v="6"/>
    <x v="6"/>
  </r>
  <r>
    <s v="ORD-10256"/>
    <x v="209"/>
    <s v="Susan Moore"/>
    <x v="4"/>
    <s v="Tablet Case"/>
    <x v="0"/>
    <n v="1"/>
    <n v="13352.293"/>
    <n v="0"/>
    <n v="13352.293"/>
    <n v="1161.1100999999999"/>
    <x v="2"/>
    <n v="2025"/>
    <x v="2"/>
    <x v="9"/>
    <n v="8.6959603118355766E-2"/>
    <x v="9"/>
    <x v="9"/>
  </r>
  <r>
    <s v="ORD-10257"/>
    <x v="209"/>
    <s v="Donald Lewis"/>
    <x v="3"/>
    <s v="Jump Rope"/>
    <x v="4"/>
    <n v="2"/>
    <n v="5437.4398000000001"/>
    <n v="0"/>
    <n v="10874.8796"/>
    <n v="1710.9103999999998"/>
    <x v="1"/>
    <n v="2025"/>
    <x v="2"/>
    <x v="9"/>
    <n v="0.15732683605986772"/>
    <x v="9"/>
    <x v="9"/>
  </r>
  <r>
    <s v="ORD-10258"/>
    <x v="210"/>
    <s v="Sarah Anderson"/>
    <x v="2"/>
    <s v="Webcam HD"/>
    <x v="0"/>
    <n v="4"/>
    <n v="12907.531999999999"/>
    <n v="0"/>
    <n v="51630.127999999997"/>
    <n v="10925.0335"/>
    <x v="1"/>
    <n v="2025"/>
    <x v="8"/>
    <x v="14"/>
    <n v="0.21160190615835778"/>
    <x v="14"/>
    <x v="14"/>
  </r>
  <r>
    <s v="ORD-10259"/>
    <x v="167"/>
    <s v="Ashley Harris"/>
    <x v="4"/>
    <s v="Resistance Bands"/>
    <x v="4"/>
    <n v="2"/>
    <n v="1994.8003999999999"/>
    <n v="5"/>
    <n v="3789.9314999999997"/>
    <n v="866.81079999999997"/>
    <x v="1"/>
    <n v="2024"/>
    <x v="10"/>
    <x v="17"/>
    <n v="0.22871410736579276"/>
    <x v="17"/>
    <x v="17"/>
  </r>
  <r>
    <s v="ORD-10260"/>
    <x v="211"/>
    <s v="William Martin"/>
    <x v="2"/>
    <s v="Portable Charger"/>
    <x v="0"/>
    <n v="2"/>
    <n v="4927.3841000000002"/>
    <n v="0"/>
    <n v="9854.7682000000004"/>
    <n v="1973.9817999999998"/>
    <x v="0"/>
    <n v="2025"/>
    <x v="1"/>
    <x v="1"/>
    <n v="0.20030727866333778"/>
    <x v="1"/>
    <x v="1"/>
  </r>
  <r>
    <s v="ORD-10261"/>
    <x v="212"/>
    <s v="Richard Jackson"/>
    <x v="1"/>
    <s v="Eye Cream"/>
    <x v="1"/>
    <n v="1"/>
    <n v="4046.3787999999995"/>
    <n v="10"/>
    <n v="3641.3623999999995"/>
    <n v="2064.8265999999999"/>
    <x v="2"/>
    <n v="2025"/>
    <x v="6"/>
    <x v="20"/>
    <n v="0.56704781704781704"/>
    <x v="20"/>
    <x v="20"/>
  </r>
  <r>
    <s v="ORD-10262"/>
    <x v="50"/>
    <s v="Jennifer Robinson"/>
    <x v="2"/>
    <s v="Polo Shirt"/>
    <x v="3"/>
    <n v="3"/>
    <n v="6676.1464999999998"/>
    <n v="10"/>
    <n v="18026.0687"/>
    <n v="5816.9060999999992"/>
    <x v="0"/>
    <n v="2025"/>
    <x v="4"/>
    <x v="16"/>
    <n v="0.32269410467741083"/>
    <x v="16"/>
    <x v="16"/>
  </r>
  <r>
    <s v="ORD-10263"/>
    <x v="91"/>
    <s v="Thomas Williams"/>
    <x v="4"/>
    <s v="Water Bottle"/>
    <x v="4"/>
    <n v="1"/>
    <n v="3714.2275"/>
    <n v="15"/>
    <n v="3156.8568"/>
    <n v="702.15459999999996"/>
    <x v="0"/>
    <n v="2024"/>
    <x v="4"/>
    <x v="4"/>
    <n v="0.22242206235011988"/>
    <x v="4"/>
    <x v="4"/>
  </r>
  <r>
    <s v="ORD-10264"/>
    <x v="213"/>
    <s v="Susan Brown"/>
    <x v="0"/>
    <s v="Cycling Gloves"/>
    <x v="4"/>
    <n v="1"/>
    <n v="5478.1306999999997"/>
    <n v="5"/>
    <n v="5204.6499999999996"/>
    <n v="1677.7899"/>
    <x v="0"/>
    <n v="2024"/>
    <x v="0"/>
    <x v="0"/>
    <n v="0.32236363636363641"/>
    <x v="0"/>
    <x v="0"/>
  </r>
  <r>
    <s v="ORD-10265"/>
    <x v="214"/>
    <s v="Mark Ramirez"/>
    <x v="2"/>
    <s v="Swim Goggles"/>
    <x v="4"/>
    <n v="3"/>
    <n v="1180.9823999999999"/>
    <n v="15"/>
    <n v="3011.1266000000001"/>
    <n v="1007.8095"/>
    <x v="1"/>
    <n v="2025"/>
    <x v="0"/>
    <x v="13"/>
    <n v="0.3346951602765556"/>
    <x v="13"/>
    <x v="13"/>
  </r>
  <r>
    <s v="ORD-10266"/>
    <x v="215"/>
    <s v="Richard Smith"/>
    <x v="1"/>
    <s v="Door Mat"/>
    <x v="2"/>
    <n v="3"/>
    <n v="6188.8020000000006"/>
    <n v="10"/>
    <n v="16709.7654"/>
    <n v="6488.7790999999988"/>
    <x v="0"/>
    <n v="2025"/>
    <x v="4"/>
    <x v="16"/>
    <n v="0.3883225733378638"/>
    <x v="16"/>
    <x v="16"/>
  </r>
  <r>
    <s v="ORD-10267"/>
    <x v="99"/>
    <s v="Anthony Harris"/>
    <x v="4"/>
    <s v="Polo Shirt"/>
    <x v="3"/>
    <n v="1"/>
    <n v="1462.9798000000001"/>
    <n v="10"/>
    <n v="1316.3033"/>
    <n v="604.6857"/>
    <x v="0"/>
    <n v="2025"/>
    <x v="2"/>
    <x v="9"/>
    <n v="0.45938173975557151"/>
    <x v="9"/>
    <x v="9"/>
  </r>
  <r>
    <s v="ORD-10268"/>
    <x v="216"/>
    <s v="Nancy Hernandez"/>
    <x v="1"/>
    <s v="Storage Bins"/>
    <x v="2"/>
    <n v="4"/>
    <n v="2462.2725999999998"/>
    <n v="25"/>
    <n v="7386.8177999999998"/>
    <n v="2608.0027999999998"/>
    <x v="0"/>
    <n v="2024"/>
    <x v="11"/>
    <x v="23"/>
    <n v="0.35306174737381502"/>
    <x v="23"/>
    <x v="23"/>
  </r>
  <r>
    <s v="ORD-10269"/>
    <x v="217"/>
    <s v="Joseph Brown"/>
    <x v="1"/>
    <s v="Bluetooth Speaker"/>
    <x v="0"/>
    <n v="3"/>
    <n v="14173.681399999999"/>
    <n v="0"/>
    <n v="42521.044199999997"/>
    <n v="9055.1446999999989"/>
    <x v="0"/>
    <n v="2025"/>
    <x v="2"/>
    <x v="9"/>
    <n v="0.21295678105666088"/>
    <x v="9"/>
    <x v="9"/>
  </r>
  <r>
    <s v="ORD-10270"/>
    <x v="120"/>
    <s v="Karen Clark"/>
    <x v="2"/>
    <s v="Wireless Headphones"/>
    <x v="0"/>
    <n v="1"/>
    <n v="12004.7618"/>
    <n v="10"/>
    <n v="10803.9071"/>
    <n v="2145.2620999999999"/>
    <x v="0"/>
    <n v="2024"/>
    <x v="7"/>
    <x v="10"/>
    <n v="0.19856354558990977"/>
    <x v="10"/>
    <x v="10"/>
  </r>
  <r>
    <s v="ORD-10271"/>
    <x v="12"/>
    <s v="Kevin Martinez"/>
    <x v="0"/>
    <s v="Tennis Balls"/>
    <x v="4"/>
    <n v="1"/>
    <n v="3593.1010999999999"/>
    <n v="10"/>
    <n v="3233.5070999999998"/>
    <n v="546.01509999999996"/>
    <x v="2"/>
    <n v="2025"/>
    <x v="7"/>
    <x v="8"/>
    <n v="0.16886157448053848"/>
    <x v="8"/>
    <x v="8"/>
  </r>
  <r>
    <s v="ORD-10272"/>
    <x v="218"/>
    <s v="Donald Taylor"/>
    <x v="2"/>
    <s v="Nail Polish Set"/>
    <x v="1"/>
    <n v="1"/>
    <n v="4290.5241999999998"/>
    <n v="10"/>
    <n v="3861.8503000000001"/>
    <n v="1741.1919999999998"/>
    <x v="0"/>
    <n v="2024"/>
    <x v="6"/>
    <x v="6"/>
    <n v="0.4508698848321489"/>
    <x v="6"/>
    <x v="6"/>
  </r>
  <r>
    <s v="ORD-10273"/>
    <x v="219"/>
    <s v="Joseph Thomas"/>
    <x v="1"/>
    <s v="Knife Set"/>
    <x v="2"/>
    <n v="1"/>
    <n v="6212.4594999999999"/>
    <n v="10"/>
    <n v="5591.6867000000002"/>
    <n v="2108.3564000000001"/>
    <x v="1"/>
    <n v="2024"/>
    <x v="4"/>
    <x v="4"/>
    <n v="0.3770519546454561"/>
    <x v="4"/>
    <x v="4"/>
  </r>
  <r>
    <s v="ORD-10274"/>
    <x v="220"/>
    <s v="Ashley Ramirez"/>
    <x v="1"/>
    <s v="Rain Jacket"/>
    <x v="3"/>
    <n v="3"/>
    <n v="5696.7259999999997"/>
    <n v="25"/>
    <n v="12817.633499999998"/>
    <n v="3871.3132999999993"/>
    <x v="2"/>
    <n v="2024"/>
    <x v="7"/>
    <x v="10"/>
    <n v="0.30203026947212991"/>
    <x v="10"/>
    <x v="10"/>
  </r>
  <r>
    <s v="ORD-10275"/>
    <x v="221"/>
    <s v="Linda Garcia"/>
    <x v="0"/>
    <s v="Hair Oil"/>
    <x v="1"/>
    <n v="1"/>
    <n v="2713.0421000000001"/>
    <n v="0"/>
    <n v="2713.0421000000001"/>
    <n v="1660.7565"/>
    <x v="1"/>
    <n v="2024"/>
    <x v="1"/>
    <x v="11"/>
    <n v="0.61213812347401464"/>
    <x v="11"/>
    <x v="11"/>
  </r>
  <r>
    <s v="ORD-10276"/>
    <x v="14"/>
    <s v="Jessica Miller"/>
    <x v="2"/>
    <s v="Door Mat"/>
    <x v="2"/>
    <n v="3"/>
    <n v="4850.7338"/>
    <n v="10"/>
    <n v="13096.791999999999"/>
    <n v="3170.105"/>
    <x v="1"/>
    <n v="2024"/>
    <x v="3"/>
    <x v="3"/>
    <n v="0.24205202312138729"/>
    <x v="3"/>
    <x v="3"/>
  </r>
  <r>
    <s v="ORD-10277"/>
    <x v="222"/>
    <s v="Barbara Lee"/>
    <x v="1"/>
    <s v="Cargo Shorts"/>
    <x v="3"/>
    <n v="2"/>
    <n v="6481.2086999999992"/>
    <n v="5"/>
    <n v="12314.201899999998"/>
    <n v="6096.0645999999997"/>
    <x v="0"/>
    <n v="2024"/>
    <x v="10"/>
    <x v="17"/>
    <n v="0.49504341812034125"/>
    <x v="17"/>
    <x v="17"/>
  </r>
  <r>
    <s v="ORD-10278"/>
    <x v="223"/>
    <s v="Michael Thompson"/>
    <x v="3"/>
    <s v="Scented Candle Set"/>
    <x v="2"/>
    <n v="1"/>
    <n v="4951.9878999999992"/>
    <n v="5"/>
    <n v="4704.0572999999995"/>
    <n v="1578.4284"/>
    <x v="1"/>
    <n v="2025"/>
    <x v="4"/>
    <x v="16"/>
    <n v="0.33554616777308394"/>
    <x v="16"/>
    <x v="16"/>
  </r>
  <r>
    <s v="ORD-10279"/>
    <x v="224"/>
    <s v="Mary Martinez"/>
    <x v="2"/>
    <s v="Lip Balm Set"/>
    <x v="1"/>
    <n v="5"/>
    <n v="2051.5783999999999"/>
    <n v="10"/>
    <n v="9232.1028000000006"/>
    <n v="5743.0946999999996"/>
    <x v="0"/>
    <n v="2025"/>
    <x v="11"/>
    <x v="19"/>
    <n v="0.62207872078720783"/>
    <x v="19"/>
    <x v="19"/>
  </r>
  <r>
    <s v="ORD-10280"/>
    <x v="225"/>
    <s v="Dorothy Johnson"/>
    <x v="0"/>
    <s v="Mouse Wireless"/>
    <x v="0"/>
    <n v="4"/>
    <n v="5700.5111999999999"/>
    <n v="25"/>
    <n v="17101.533599999999"/>
    <n v="2808.6183999999998"/>
    <x v="1"/>
    <n v="2024"/>
    <x v="8"/>
    <x v="12"/>
    <n v="0.16423196104471005"/>
    <x v="12"/>
    <x v="12"/>
  </r>
  <r>
    <s v="ORD-10281"/>
    <x v="166"/>
    <s v="Karen Smith"/>
    <x v="1"/>
    <s v="Rain Jacket"/>
    <x v="3"/>
    <n v="1"/>
    <n v="7134.1556999999993"/>
    <n v="25"/>
    <n v="5350.3801999999996"/>
    <n v="2677.0826999999999"/>
    <x v="0"/>
    <n v="2024"/>
    <x v="7"/>
    <x v="10"/>
    <n v="0.50035373187124166"/>
    <x v="10"/>
    <x v="10"/>
  </r>
  <r>
    <s v="ORD-10282"/>
    <x v="112"/>
    <s v="Steven Lopez"/>
    <x v="3"/>
    <s v="Cargo Shorts"/>
    <x v="3"/>
    <n v="3"/>
    <n v="3194.7087999999999"/>
    <n v="10"/>
    <n v="8625.5244999999995"/>
    <n v="3560.9268999999999"/>
    <x v="0"/>
    <n v="2025"/>
    <x v="9"/>
    <x v="22"/>
    <n v="0.41283598464070215"/>
    <x v="22"/>
    <x v="22"/>
  </r>
  <r>
    <s v="ORD-10283"/>
    <x v="226"/>
    <s v="Michelle Ramirez"/>
    <x v="4"/>
    <s v="Desk Lamp"/>
    <x v="2"/>
    <n v="3"/>
    <n v="3566.6046999999994"/>
    <n v="10"/>
    <n v="9629.5488000000005"/>
    <n v="2091.3229999999999"/>
    <x v="0"/>
    <n v="2025"/>
    <x v="5"/>
    <x v="5"/>
    <n v="0.21717767295597482"/>
    <x v="5"/>
    <x v="5"/>
  </r>
  <r>
    <s v="ORD-10284"/>
    <x v="227"/>
    <s v="Dorothy Sanchez"/>
    <x v="2"/>
    <s v="Face Moisturizer"/>
    <x v="1"/>
    <n v="2"/>
    <n v="2691.2772"/>
    <n v="10"/>
    <n v="4844.1097"/>
    <n v="2834.1684999999998"/>
    <x v="0"/>
    <n v="2025"/>
    <x v="2"/>
    <x v="9"/>
    <n v="0.58507521000195351"/>
    <x v="9"/>
    <x v="9"/>
  </r>
  <r>
    <s v="ORD-10285"/>
    <x v="228"/>
    <s v="Kimberly Miller"/>
    <x v="3"/>
    <s v="Shampoo Organic"/>
    <x v="1"/>
    <n v="4"/>
    <n v="4011.3656999999998"/>
    <n v="0"/>
    <n v="16045.462799999999"/>
    <n v="8248.8971000000001"/>
    <x v="0"/>
    <n v="2025"/>
    <x v="10"/>
    <x v="21"/>
    <n v="0.51409530549657945"/>
    <x v="21"/>
    <x v="21"/>
  </r>
  <r>
    <s v="ORD-10286"/>
    <x v="229"/>
    <s v="Mark Jackson"/>
    <x v="4"/>
    <s v="Nail Polish Set"/>
    <x v="1"/>
    <n v="2"/>
    <n v="4039.7546999999995"/>
    <n v="0"/>
    <n v="8079.509399999999"/>
    <n v="4707.8424999999997"/>
    <x v="1"/>
    <n v="2024"/>
    <x v="11"/>
    <x v="23"/>
    <n v="0.58268915436870461"/>
    <x v="23"/>
    <x v="23"/>
  </r>
  <r>
    <s v="ORD-10287"/>
    <x v="230"/>
    <s v="Kenneth Clark"/>
    <x v="2"/>
    <s v="Pillow Set"/>
    <x v="2"/>
    <n v="2"/>
    <n v="1660.7565"/>
    <n v="20"/>
    <n v="2657.2103999999999"/>
    <n v="1006.8632"/>
    <x v="0"/>
    <n v="2025"/>
    <x v="11"/>
    <x v="19"/>
    <n v="0.37891737891737892"/>
    <x v="19"/>
    <x v="19"/>
  </r>
  <r>
    <s v="ORD-10288"/>
    <x v="231"/>
    <s v="Dorothy Rodriguez"/>
    <x v="2"/>
    <s v="Nail Polish Set"/>
    <x v="1"/>
    <n v="1"/>
    <n v="4695.5405999999994"/>
    <n v="5"/>
    <n v="4460.8581999999997"/>
    <n v="2351.5554999999999"/>
    <x v="0"/>
    <n v="2024"/>
    <x v="8"/>
    <x v="12"/>
    <n v="0.52715316079762409"/>
    <x v="12"/>
    <x v="12"/>
  </r>
  <r>
    <s v="ORD-10289"/>
    <x v="218"/>
    <s v="Linda Thomas"/>
    <x v="4"/>
    <s v="Swim Goggles"/>
    <x v="4"/>
    <n v="3"/>
    <n v="5619.1293999999998"/>
    <n v="20"/>
    <n v="13485.721299999999"/>
    <n v="4143.8476999999993"/>
    <x v="2"/>
    <n v="2024"/>
    <x v="6"/>
    <x v="6"/>
    <n v="0.30727668233808153"/>
    <x v="6"/>
    <x v="6"/>
  </r>
  <r>
    <s v="ORD-10290"/>
    <x v="232"/>
    <s v="Michael White"/>
    <x v="3"/>
    <s v="Laptop Stand"/>
    <x v="0"/>
    <n v="1"/>
    <n v="4916.0285000000003"/>
    <n v="5"/>
    <n v="4669.9904999999999"/>
    <n v="894.25349999999992"/>
    <x v="2"/>
    <n v="2024"/>
    <x v="3"/>
    <x v="3"/>
    <n v="0.19148936170212766"/>
    <x v="3"/>
    <x v="3"/>
  </r>
  <r>
    <s v="ORD-10291"/>
    <x v="136"/>
    <s v="Emily Martin"/>
    <x v="2"/>
    <s v="Laptop Stand"/>
    <x v="0"/>
    <n v="1"/>
    <n v="3066.0119999999997"/>
    <n v="0"/>
    <n v="3066.0119999999997"/>
    <n v="456.11660000000001"/>
    <x v="1"/>
    <n v="2024"/>
    <x v="11"/>
    <x v="23"/>
    <n v="0.14876543209876544"/>
    <x v="23"/>
    <x v="23"/>
  </r>
  <r>
    <s v="ORD-10292"/>
    <x v="56"/>
    <s v="David Jackson"/>
    <x v="0"/>
    <s v="Face Mask Pack"/>
    <x v="1"/>
    <n v="1"/>
    <n v="4652.9570999999996"/>
    <n v="5"/>
    <n v="4420.1673000000001"/>
    <n v="2145.2620999999999"/>
    <x v="0"/>
    <n v="2024"/>
    <x v="3"/>
    <x v="3"/>
    <n v="0.4853350460286876"/>
    <x v="3"/>
    <x v="3"/>
  </r>
  <r>
    <s v="ORD-10293"/>
    <x v="233"/>
    <s v="William Martin"/>
    <x v="1"/>
    <s v="Jump Rope"/>
    <x v="4"/>
    <n v="2"/>
    <n v="1308.7329"/>
    <n v="5"/>
    <n v="2486.8764000000001"/>
    <n v="501.53899999999999"/>
    <x v="0"/>
    <n v="2024"/>
    <x v="2"/>
    <x v="2"/>
    <n v="0.20167427701674276"/>
    <x v="2"/>
    <x v="2"/>
  </r>
  <r>
    <s v="ORD-10294"/>
    <x v="234"/>
    <s v="Robert Lewis"/>
    <x v="3"/>
    <s v="Casual Sneakers"/>
    <x v="3"/>
    <n v="5"/>
    <n v="3048.0322999999999"/>
    <n v="20"/>
    <n v="12192.129199999999"/>
    <n v="4134.3846999999996"/>
    <x v="0"/>
    <n v="2025"/>
    <x v="11"/>
    <x v="19"/>
    <n v="0.3391027631170444"/>
    <x v="19"/>
    <x v="19"/>
  </r>
  <r>
    <s v="ORD-10295"/>
    <x v="235"/>
    <s v="William Rodriguez"/>
    <x v="3"/>
    <s v="Eye Cream"/>
    <x v="1"/>
    <n v="3"/>
    <n v="2150.9398999999999"/>
    <n v="10"/>
    <n v="5807.4430999999995"/>
    <n v="3685.8385000000003"/>
    <x v="0"/>
    <n v="2025"/>
    <x v="10"/>
    <x v="21"/>
    <n v="0.63467492260061931"/>
    <x v="21"/>
    <x v="21"/>
  </r>
  <r>
    <s v="ORD-10296"/>
    <x v="236"/>
    <s v="Daniel Taylor"/>
    <x v="3"/>
    <s v="Nail Polish Set"/>
    <x v="1"/>
    <n v="2"/>
    <n v="3435.0689999999995"/>
    <n v="0"/>
    <n v="6870.137999999999"/>
    <n v="2789.6923999999999"/>
    <x v="0"/>
    <n v="2025"/>
    <x v="6"/>
    <x v="20"/>
    <n v="0.40606060606060612"/>
    <x v="20"/>
    <x v="20"/>
  </r>
  <r>
    <s v="ORD-10297"/>
    <x v="237"/>
    <s v="Elizabeth Johnson"/>
    <x v="1"/>
    <s v="Sunscreen SPF50"/>
    <x v="1"/>
    <n v="2"/>
    <n v="731.48990000000003"/>
    <n v="15"/>
    <n v="1243.4382000000001"/>
    <n v="764.61039999999991"/>
    <x v="1"/>
    <n v="2024"/>
    <x v="5"/>
    <x v="18"/>
    <n v="0.61491628614916272"/>
    <x v="18"/>
    <x v="18"/>
  </r>
  <r>
    <s v="ORD-10298"/>
    <x v="238"/>
    <s v="Robert Jackson"/>
    <x v="4"/>
    <s v="Resistance Bands"/>
    <x v="4"/>
    <n v="2"/>
    <n v="2607.0565000000001"/>
    <n v="10"/>
    <n v="4692.7017000000005"/>
    <n v="925.48139999999989"/>
    <x v="1"/>
    <n v="2025"/>
    <x v="1"/>
    <x v="1"/>
    <n v="0.19721718088324255"/>
    <x v="1"/>
    <x v="1"/>
  </r>
  <r>
    <s v="ORD-10299"/>
    <x v="239"/>
    <s v="Thomas Harris"/>
    <x v="4"/>
    <s v="Rain Jacket"/>
    <x v="3"/>
    <n v="3"/>
    <n v="8499.6665999999987"/>
    <n v="10"/>
    <n v="22948.721299999997"/>
    <n v="9437.4498999999996"/>
    <x v="0"/>
    <n v="2025"/>
    <x v="6"/>
    <x v="20"/>
    <n v="0.41124077357634742"/>
    <x v="20"/>
    <x v="20"/>
  </r>
  <r>
    <s v="ORD-10300"/>
    <x v="209"/>
    <s v="Karen Clark"/>
    <x v="0"/>
    <s v="Pillow Set"/>
    <x v="2"/>
    <n v="1"/>
    <n v="2753.7330000000002"/>
    <n v="0"/>
    <n v="2753.7330000000002"/>
    <n v="787.32159999999999"/>
    <x v="0"/>
    <n v="2025"/>
    <x v="2"/>
    <x v="9"/>
    <n v="0.28591065292096218"/>
    <x v="9"/>
    <x v="9"/>
  </r>
  <r>
    <s v="ORD-10301"/>
    <x v="240"/>
    <s v="Joshua Rodriguez"/>
    <x v="4"/>
    <s v="Water Bottle"/>
    <x v="4"/>
    <n v="1"/>
    <n v="2976.1134999999999"/>
    <n v="0"/>
    <n v="2976.1134999999999"/>
    <n v="727.7047"/>
    <x v="0"/>
    <n v="2025"/>
    <x v="1"/>
    <x v="1"/>
    <n v="0.24451510333863274"/>
    <x v="1"/>
    <x v="1"/>
  </r>
  <r>
    <s v="ORD-10302"/>
    <x v="241"/>
    <s v="Andrew Harris"/>
    <x v="0"/>
    <s v="USB-C Hub"/>
    <x v="0"/>
    <n v="1"/>
    <n v="3085.8842999999997"/>
    <n v="0"/>
    <n v="3085.8842999999997"/>
    <n v="271.5881"/>
    <x v="0"/>
    <n v="2024"/>
    <x v="1"/>
    <x v="11"/>
    <n v="8.800981294081571E-2"/>
    <x v="11"/>
    <x v="11"/>
  </r>
  <r>
    <s v="ORD-10303"/>
    <x v="203"/>
    <s v="Sandra Brown"/>
    <x v="2"/>
    <s v="Polo Shirt"/>
    <x v="3"/>
    <n v="1"/>
    <n v="7572.2925999999989"/>
    <n v="0"/>
    <n v="7572.2925999999989"/>
    <n v="3560.9268999999999"/>
    <x v="1"/>
    <n v="2024"/>
    <x v="7"/>
    <x v="10"/>
    <n v="0.47025743564108979"/>
    <x v="10"/>
    <x v="10"/>
  </r>
  <r>
    <s v="ORD-10304"/>
    <x v="242"/>
    <s v="James Jackson"/>
    <x v="2"/>
    <s v="Resistance Bands"/>
    <x v="4"/>
    <n v="3"/>
    <n v="2190.6844999999998"/>
    <n v="20"/>
    <n v="5257.6427999999996"/>
    <n v="1005.9169000000001"/>
    <x v="0"/>
    <n v="2024"/>
    <x v="3"/>
    <x v="3"/>
    <n v="0.19132469402447808"/>
    <x v="3"/>
    <x v="3"/>
  </r>
  <r>
    <s v="ORD-10305"/>
    <x v="243"/>
    <s v="Joseph Gonzalez"/>
    <x v="0"/>
    <s v="Denim Jacket"/>
    <x v="3"/>
    <n v="1"/>
    <n v="2483.0911999999998"/>
    <n v="10"/>
    <n v="2235.1606000000002"/>
    <n v="1045.6614999999999"/>
    <x v="1"/>
    <n v="2025"/>
    <x v="3"/>
    <x v="7"/>
    <n v="0.4678238780694326"/>
    <x v="7"/>
    <x v="7"/>
  </r>
  <r>
    <s v="ORD-10306"/>
    <x v="244"/>
    <s v="Michelle Robinson"/>
    <x v="0"/>
    <s v="Bluetooth Speaker"/>
    <x v="0"/>
    <n v="2"/>
    <n v="3605.4029999999998"/>
    <n v="10"/>
    <n v="6489.7253999999994"/>
    <n v="1338.0681999999999"/>
    <x v="2"/>
    <n v="2025"/>
    <x v="11"/>
    <x v="19"/>
    <n v="0.20618256051326919"/>
    <x v="19"/>
    <x v="19"/>
  </r>
  <r>
    <s v="ORD-10307"/>
    <x v="245"/>
    <s v="Kenneth Johnson"/>
    <x v="3"/>
    <s v="Knife Set"/>
    <x v="2"/>
    <n v="1"/>
    <n v="6240.8485000000001"/>
    <n v="10"/>
    <n v="5617.2367999999997"/>
    <n v="1903.0092999999999"/>
    <x v="0"/>
    <n v="2024"/>
    <x v="6"/>
    <x v="6"/>
    <n v="0.33878032345013476"/>
    <x v="6"/>
    <x v="6"/>
  </r>
  <r>
    <s v="ORD-10308"/>
    <x v="246"/>
    <s v="Elizabeth Ramirez"/>
    <x v="1"/>
    <s v="Dumbbells 10lb"/>
    <x v="4"/>
    <n v="1"/>
    <n v="3510.7730000000001"/>
    <n v="15"/>
    <n v="2984.6301999999996"/>
    <n v="989.82979999999998"/>
    <x v="2"/>
    <n v="2025"/>
    <x v="10"/>
    <x v="21"/>
    <n v="0.33164235890932153"/>
    <x v="21"/>
    <x v="21"/>
  </r>
  <r>
    <s v="ORD-10309"/>
    <x v="212"/>
    <s v="Barbara Lewis"/>
    <x v="4"/>
    <s v="Door Mat"/>
    <x v="2"/>
    <n v="1"/>
    <n v="6170.8222999999989"/>
    <n v="20"/>
    <n v="4936.8471"/>
    <n v="1249.116"/>
    <x v="0"/>
    <n v="2025"/>
    <x v="6"/>
    <x v="20"/>
    <n v="0.25301897642323173"/>
    <x v="20"/>
    <x v="20"/>
  </r>
  <r>
    <s v="ORD-10310"/>
    <x v="247"/>
    <s v="Karen Lewis"/>
    <x v="1"/>
    <s v="Cotton T-Shirt"/>
    <x v="3"/>
    <n v="1"/>
    <n v="6122.5609999999997"/>
    <n v="5"/>
    <n v="5816.9060999999992"/>
    <n v="3127.5214999999994"/>
    <x v="1"/>
    <n v="2025"/>
    <x v="3"/>
    <x v="7"/>
    <n v="0.53766064747031073"/>
    <x v="7"/>
    <x v="7"/>
  </r>
  <r>
    <s v="ORD-10311"/>
    <x v="114"/>
    <s v="Thomas Martinez"/>
    <x v="3"/>
    <s v="Cotton T-Shirt"/>
    <x v="3"/>
    <n v="1"/>
    <n v="6361.9749000000002"/>
    <n v="0"/>
    <n v="6361.9749000000002"/>
    <n v="2219.0735"/>
    <x v="2"/>
    <n v="2024"/>
    <x v="4"/>
    <x v="4"/>
    <n v="0.34880261787892308"/>
    <x v="4"/>
    <x v="4"/>
  </r>
  <r>
    <s v="ORD-10312"/>
    <x v="198"/>
    <s v="Paul Martin"/>
    <x v="1"/>
    <s v="Knife Set"/>
    <x v="2"/>
    <n v="1"/>
    <n v="5261.4279999999999"/>
    <n v="0"/>
    <n v="5261.4279999999999"/>
    <n v="2100.7860000000001"/>
    <x v="0"/>
    <n v="2025"/>
    <x v="11"/>
    <x v="19"/>
    <n v="0.39928057553956836"/>
    <x v="19"/>
    <x v="19"/>
  </r>
  <r>
    <s v="ORD-10313"/>
    <x v="248"/>
    <s v="Dorothy Lopez"/>
    <x v="3"/>
    <s v="Pillow Set"/>
    <x v="2"/>
    <n v="3"/>
    <n v="5053.2419999999993"/>
    <n v="25"/>
    <n v="11369.7945"/>
    <n v="2358.1795999999999"/>
    <x v="0"/>
    <n v="2024"/>
    <x v="1"/>
    <x v="11"/>
    <n v="0.2074074074074074"/>
    <x v="11"/>
    <x v="11"/>
  </r>
  <r>
    <s v="ORD-10314"/>
    <x v="152"/>
    <s v="Ashley Robinson"/>
    <x v="2"/>
    <s v="Cargo Shorts"/>
    <x v="3"/>
    <n v="3"/>
    <n v="4970.9138999999996"/>
    <n v="0"/>
    <n v="14912.7417"/>
    <n v="6041.1791999999996"/>
    <x v="1"/>
    <n v="2024"/>
    <x v="10"/>
    <x v="17"/>
    <n v="0.40510184656386822"/>
    <x v="17"/>
    <x v="17"/>
  </r>
  <r>
    <s v="ORD-10315"/>
    <x v="249"/>
    <s v="Joseph Jackson"/>
    <x v="4"/>
    <s v="Foam Roller"/>
    <x v="4"/>
    <n v="1"/>
    <n v="1295.4847"/>
    <n v="15"/>
    <n v="1101.4931999999999"/>
    <n v="365.27179999999998"/>
    <x v="1"/>
    <n v="2025"/>
    <x v="2"/>
    <x v="9"/>
    <n v="0.33161512027491413"/>
    <x v="9"/>
    <x v="9"/>
  </r>
  <r>
    <s v="ORD-10316"/>
    <x v="250"/>
    <s v="Daniel Lee"/>
    <x v="1"/>
    <s v="Cargo Shorts"/>
    <x v="3"/>
    <n v="2"/>
    <n v="5568.9754999999996"/>
    <n v="5"/>
    <n v="10581.526599999999"/>
    <n v="3197.5476999999996"/>
    <x v="0"/>
    <n v="2024"/>
    <x v="2"/>
    <x v="2"/>
    <n v="0.30218207834018956"/>
    <x v="2"/>
    <x v="2"/>
  </r>
  <r>
    <s v="ORD-10317"/>
    <x v="251"/>
    <s v="Nancy Davis"/>
    <x v="2"/>
    <s v="Perfume Travel"/>
    <x v="1"/>
    <n v="1"/>
    <n v="3829.6760999999997"/>
    <n v="10"/>
    <n v="3446.4245999999998"/>
    <n v="1524.4893"/>
    <x v="1"/>
    <n v="2025"/>
    <x v="4"/>
    <x v="16"/>
    <n v="0.44233937397034595"/>
    <x v="16"/>
    <x v="16"/>
  </r>
  <r>
    <s v="ORD-10318"/>
    <x v="252"/>
    <s v="Betty Moore"/>
    <x v="0"/>
    <s v="Perfume Travel"/>
    <x v="1"/>
    <n v="1"/>
    <n v="2749.9477999999999"/>
    <n v="5"/>
    <n v="2612.7342999999996"/>
    <n v="1059.856"/>
    <x v="0"/>
    <n v="2025"/>
    <x v="9"/>
    <x v="22"/>
    <n v="0.4056501267656647"/>
    <x v="22"/>
    <x v="22"/>
  </r>
  <r>
    <s v="ORD-10319"/>
    <x v="253"/>
    <s v="Sarah Jackson"/>
    <x v="0"/>
    <s v="Body Lotion"/>
    <x v="1"/>
    <n v="1"/>
    <n v="4421.1135999999997"/>
    <n v="10"/>
    <n v="3979.1914999999995"/>
    <n v="2167.9733000000001"/>
    <x v="0"/>
    <n v="2024"/>
    <x v="11"/>
    <x v="23"/>
    <n v="0.54482758620689664"/>
    <x v="23"/>
    <x v="23"/>
  </r>
  <r>
    <s v="ORD-10320"/>
    <x v="254"/>
    <s v="Daniel Jones"/>
    <x v="3"/>
    <s v="Coffee Maker"/>
    <x v="2"/>
    <n v="1"/>
    <n v="7275.1543999999994"/>
    <n v="10"/>
    <n v="6547.4496999999992"/>
    <n v="1894.4925999999998"/>
    <x v="1"/>
    <n v="2025"/>
    <x v="7"/>
    <x v="8"/>
    <n v="0.28934817170111288"/>
    <x v="8"/>
    <x v="8"/>
  </r>
  <r>
    <s v="ORD-10321"/>
    <x v="54"/>
    <s v="Kevin White"/>
    <x v="3"/>
    <s v="Athletic Socks"/>
    <x v="3"/>
    <n v="4"/>
    <n v="6823.7692999999999"/>
    <n v="15"/>
    <n v="23200.437099999999"/>
    <n v="8925.5015999999996"/>
    <x v="1"/>
    <n v="2025"/>
    <x v="9"/>
    <x v="22"/>
    <n v="0.38471264836643959"/>
    <x v="22"/>
    <x v="22"/>
  </r>
  <r>
    <s v="ORD-10322"/>
    <x v="255"/>
    <s v="Karen Lewis"/>
    <x v="1"/>
    <s v="Cotton T-Shirt"/>
    <x v="3"/>
    <n v="1"/>
    <n v="3306.3721999999998"/>
    <n v="15"/>
    <n v="2810.511"/>
    <n v="1476.2279999999998"/>
    <x v="0"/>
    <n v="2024"/>
    <x v="6"/>
    <x v="6"/>
    <n v="0.52525252525252519"/>
    <x v="6"/>
    <x v="6"/>
  </r>
  <r>
    <s v="ORD-10323"/>
    <x v="256"/>
    <s v="Paul Thomas"/>
    <x v="2"/>
    <s v="Lip Balm Set"/>
    <x v="1"/>
    <n v="4"/>
    <n v="2573.9359999999997"/>
    <n v="0"/>
    <n v="10295.743999999999"/>
    <n v="5316.3134"/>
    <x v="0"/>
    <n v="2025"/>
    <x v="4"/>
    <x v="16"/>
    <n v="0.51636029411764717"/>
    <x v="16"/>
    <x v="16"/>
  </r>
  <r>
    <s v="ORD-10324"/>
    <x v="257"/>
    <s v="Lisa Johnson"/>
    <x v="3"/>
    <s v="Yoga Mat"/>
    <x v="4"/>
    <n v="1"/>
    <n v="4953.8805000000002"/>
    <n v="0"/>
    <n v="4953.8805000000002"/>
    <n v="806.24759999999992"/>
    <x v="0"/>
    <n v="2025"/>
    <x v="11"/>
    <x v="19"/>
    <n v="0.1627507163323782"/>
    <x v="19"/>
    <x v="19"/>
  </r>
  <r>
    <s v="ORD-10325"/>
    <x v="258"/>
    <s v="Donald Wilson"/>
    <x v="1"/>
    <s v="Coffee Maker"/>
    <x v="2"/>
    <n v="1"/>
    <n v="6738.6022999999986"/>
    <n v="0"/>
    <n v="6738.6022999999986"/>
    <n v="2659.1030000000001"/>
    <x v="0"/>
    <n v="2025"/>
    <x v="7"/>
    <x v="8"/>
    <n v="0.39460749894677721"/>
    <x v="8"/>
    <x v="8"/>
  </r>
  <r>
    <s v="ORD-10326"/>
    <x v="259"/>
    <s v="Carol Clark"/>
    <x v="0"/>
    <s v="Wool Sweater"/>
    <x v="3"/>
    <n v="1"/>
    <n v="7967.8459999999995"/>
    <n v="10"/>
    <n v="7171.0613999999996"/>
    <n v="3502.2562999999996"/>
    <x v="1"/>
    <n v="2024"/>
    <x v="9"/>
    <x v="15"/>
    <n v="0.48838743731855366"/>
    <x v="15"/>
    <x v="15"/>
  </r>
  <r>
    <s v="ORD-10327"/>
    <x v="260"/>
    <s v="Christopher Williams"/>
    <x v="4"/>
    <s v="Dumbbells 10lb"/>
    <x v="4"/>
    <n v="2"/>
    <n v="3154.0178999999998"/>
    <n v="5"/>
    <n v="5992.9178999999995"/>
    <n v="1162.0563999999999"/>
    <x v="1"/>
    <n v="2024"/>
    <x v="7"/>
    <x v="10"/>
    <n v="0.19390494236538766"/>
    <x v="10"/>
    <x v="10"/>
  </r>
  <r>
    <s v="ORD-10328"/>
    <x v="238"/>
    <s v="David Jones"/>
    <x v="0"/>
    <s v="Swim Goggles"/>
    <x v="4"/>
    <n v="3"/>
    <n v="5663.6054999999997"/>
    <n v="0"/>
    <n v="16990.816500000001"/>
    <n v="5276.5688"/>
    <x v="2"/>
    <n v="2025"/>
    <x v="1"/>
    <x v="1"/>
    <n v="0.31055416318574214"/>
    <x v="1"/>
    <x v="1"/>
  </r>
  <r>
    <s v="ORD-10329"/>
    <x v="226"/>
    <s v="Thomas Harris"/>
    <x v="2"/>
    <s v="Hair Oil"/>
    <x v="1"/>
    <n v="1"/>
    <n v="3185.2457999999997"/>
    <n v="0"/>
    <n v="3185.2457999999997"/>
    <n v="1659.8101999999999"/>
    <x v="0"/>
    <n v="2025"/>
    <x v="5"/>
    <x v="5"/>
    <n v="0.52109328579916814"/>
    <x v="5"/>
    <x v="5"/>
  </r>
  <r>
    <s v="ORD-10330"/>
    <x v="69"/>
    <s v="Jennifer Brown"/>
    <x v="2"/>
    <s v="Wool Sweater"/>
    <x v="3"/>
    <n v="2"/>
    <n v="6903.2584999999999"/>
    <n v="10"/>
    <n v="12425.865299999999"/>
    <n v="4017.0435000000002"/>
    <x v="0"/>
    <n v="2024"/>
    <x v="3"/>
    <x v="3"/>
    <n v="0.32328078592643367"/>
    <x v="3"/>
    <x v="3"/>
  </r>
  <r>
    <s v="ORD-10331"/>
    <x v="261"/>
    <s v="Dorothy Ramirez"/>
    <x v="1"/>
    <s v="Gym Bag"/>
    <x v="4"/>
    <n v="3"/>
    <n v="3572.2824999999998"/>
    <n v="20"/>
    <n v="8573.4779999999992"/>
    <n v="2040.2227999999998"/>
    <x v="0"/>
    <n v="2024"/>
    <x v="0"/>
    <x v="0"/>
    <n v="0.2379690949227373"/>
    <x v="0"/>
    <x v="0"/>
  </r>
  <r>
    <s v="ORD-10332"/>
    <x v="262"/>
    <s v="Elizabeth White"/>
    <x v="4"/>
    <s v="Webcam HD"/>
    <x v="0"/>
    <n v="2"/>
    <n v="7078.3239999999996"/>
    <n v="15"/>
    <n v="12033.150799999999"/>
    <n v="2400.7631000000001"/>
    <x v="0"/>
    <n v="2024"/>
    <x v="0"/>
    <x v="0"/>
    <n v="0.19951242529097202"/>
    <x v="0"/>
    <x v="0"/>
  </r>
  <r>
    <s v="ORD-10333"/>
    <x v="263"/>
    <s v="Jessica Sanchez"/>
    <x v="0"/>
    <s v="Sunscreen SPF50"/>
    <x v="1"/>
    <n v="1"/>
    <n v="2590.9694"/>
    <n v="0"/>
    <n v="2590.9694"/>
    <n v="1545.3078999999998"/>
    <x v="0"/>
    <n v="2025"/>
    <x v="6"/>
    <x v="20"/>
    <n v="0.59642074506939369"/>
    <x v="20"/>
    <x v="20"/>
  </r>
  <r>
    <s v="ORD-10334"/>
    <x v="84"/>
    <s v="Matthew Moore"/>
    <x v="2"/>
    <s v="Foam Roller"/>
    <x v="4"/>
    <n v="4"/>
    <n v="3963.1044000000002"/>
    <n v="25"/>
    <n v="11889.313199999999"/>
    <n v="2624.0898999999999"/>
    <x v="1"/>
    <n v="2024"/>
    <x v="3"/>
    <x v="3"/>
    <n v="0.22070996497930598"/>
    <x v="3"/>
    <x v="3"/>
  </r>
  <r>
    <s v="ORD-10335"/>
    <x v="264"/>
    <s v="Emily Perez"/>
    <x v="1"/>
    <s v="Portable Charger"/>
    <x v="0"/>
    <n v="2"/>
    <n v="6183.1242000000002"/>
    <n v="5"/>
    <n v="11748.3145"/>
    <n v="2755.6255999999998"/>
    <x v="1"/>
    <n v="2024"/>
    <x v="5"/>
    <x v="18"/>
    <n v="0.2345549738219895"/>
    <x v="18"/>
    <x v="18"/>
  </r>
  <r>
    <s v="ORD-10336"/>
    <x v="250"/>
    <s v="Jennifer Davis"/>
    <x v="3"/>
    <s v="Swim Goggles"/>
    <x v="4"/>
    <n v="1"/>
    <n v="5171.5294999999996"/>
    <n v="5"/>
    <n v="4913.1895999999997"/>
    <n v="814.76429999999993"/>
    <x v="0"/>
    <n v="2024"/>
    <x v="2"/>
    <x v="2"/>
    <n v="0.16583204930662557"/>
    <x v="2"/>
    <x v="2"/>
  </r>
  <r>
    <s v="ORD-10337"/>
    <x v="133"/>
    <s v="Matthew Smith"/>
    <x v="0"/>
    <s v="Eye Cream"/>
    <x v="1"/>
    <n v="3"/>
    <n v="2374.2666999999997"/>
    <n v="5"/>
    <n v="6766.9913000000006"/>
    <n v="4107.8882999999996"/>
    <x v="2"/>
    <n v="2025"/>
    <x v="9"/>
    <x v="22"/>
    <n v="0.60704796531953564"/>
    <x v="22"/>
    <x v="22"/>
  </r>
  <r>
    <s v="ORD-10338"/>
    <x v="265"/>
    <s v="Christopher Rodriguez"/>
    <x v="3"/>
    <s v="Wool Sweater"/>
    <x v="3"/>
    <n v="1"/>
    <n v="4396.5097999999998"/>
    <n v="15"/>
    <n v="3736.9387000000002"/>
    <n v="1538.6838"/>
    <x v="0"/>
    <n v="2024"/>
    <x v="6"/>
    <x v="6"/>
    <n v="0.41174981007850087"/>
    <x v="6"/>
    <x v="6"/>
  </r>
  <r>
    <s v="ORD-10339"/>
    <x v="107"/>
    <s v="Kenneth Clark"/>
    <x v="2"/>
    <s v="Hair Oil"/>
    <x v="1"/>
    <n v="3"/>
    <n v="4405.0264999999999"/>
    <n v="0"/>
    <n v="13215.0795"/>
    <n v="6198.2649999999994"/>
    <x v="0"/>
    <n v="2024"/>
    <x v="3"/>
    <x v="3"/>
    <n v="0.46902971715001784"/>
    <x v="3"/>
    <x v="3"/>
  </r>
  <r>
    <s v="ORD-10340"/>
    <x v="262"/>
    <s v="Donna Lee"/>
    <x v="4"/>
    <s v="Yoga Pants"/>
    <x v="3"/>
    <n v="1"/>
    <n v="3390.5928999999996"/>
    <n v="5"/>
    <n v="3221.2051999999999"/>
    <n v="1333.3366999999998"/>
    <x v="0"/>
    <n v="2024"/>
    <x v="0"/>
    <x v="0"/>
    <n v="0.41392479435957691"/>
    <x v="0"/>
    <x v="0"/>
  </r>
  <r>
    <s v="ORD-10341"/>
    <x v="21"/>
    <s v="Emily Brown"/>
    <x v="4"/>
    <s v="Running Shoes"/>
    <x v="3"/>
    <n v="2"/>
    <n v="3594.9937"/>
    <n v="0"/>
    <n v="7189.9874"/>
    <n v="3428.4448999999995"/>
    <x v="0"/>
    <n v="2025"/>
    <x v="1"/>
    <x v="1"/>
    <n v="0.47683600947617788"/>
    <x v="1"/>
    <x v="1"/>
  </r>
  <r>
    <s v="ORD-10342"/>
    <x v="266"/>
    <s v="Betty Anderson"/>
    <x v="0"/>
    <s v="Bluetooth Speaker"/>
    <x v="0"/>
    <n v="2"/>
    <n v="2546.4933000000001"/>
    <n v="20"/>
    <n v="4074.7678000000001"/>
    <n v="694.58420000000001"/>
    <x v="1"/>
    <n v="2024"/>
    <x v="1"/>
    <x v="11"/>
    <n v="0.1704598235020901"/>
    <x v="11"/>
    <x v="11"/>
  </r>
  <r>
    <s v="ORD-10343"/>
    <x v="255"/>
    <s v="Elizabeth Martinez"/>
    <x v="4"/>
    <s v="Cycling Gloves"/>
    <x v="4"/>
    <n v="4"/>
    <n v="1956.0021000000002"/>
    <n v="5"/>
    <n v="7433.1864999999998"/>
    <n v="1958.8409999999999"/>
    <x v="0"/>
    <n v="2024"/>
    <x v="6"/>
    <x v="6"/>
    <n v="0.26352641629535328"/>
    <x v="6"/>
    <x v="6"/>
  </r>
  <r>
    <s v="ORD-10344"/>
    <x v="267"/>
    <s v="William Sanchez"/>
    <x v="0"/>
    <s v="Tennis Balls"/>
    <x v="4"/>
    <n v="1"/>
    <n v="3157.8030999999996"/>
    <n v="0"/>
    <n v="3157.8030999999996"/>
    <n v="1070.2653"/>
    <x v="1"/>
    <n v="2025"/>
    <x v="8"/>
    <x v="14"/>
    <n v="0.33892718010188799"/>
    <x v="14"/>
    <x v="14"/>
  </r>
  <r>
    <s v="ORD-10345"/>
    <x v="268"/>
    <s v="Jessica Ramirez"/>
    <x v="0"/>
    <s v="Smart Watch"/>
    <x v="0"/>
    <n v="3"/>
    <n v="6831.3396999999995"/>
    <n v="0"/>
    <n v="20494.019099999998"/>
    <n v="4049.2176999999997"/>
    <x v="2"/>
    <n v="2025"/>
    <x v="2"/>
    <x v="9"/>
    <n v="0.19758045897400378"/>
    <x v="9"/>
    <x v="9"/>
  </r>
  <r>
    <s v="ORD-10346"/>
    <x v="269"/>
    <s v="Nancy Thompson"/>
    <x v="3"/>
    <s v="Shampoo Organic"/>
    <x v="1"/>
    <n v="1"/>
    <n v="3898.7559999999999"/>
    <n v="15"/>
    <n v="3313.9426000000003"/>
    <n v="1878.4055000000001"/>
    <x v="0"/>
    <n v="2025"/>
    <x v="3"/>
    <x v="7"/>
    <n v="0.56681896059394632"/>
    <x v="7"/>
    <x v="7"/>
  </r>
  <r>
    <s v="ORD-10347"/>
    <x v="270"/>
    <s v="Michael Ramirez"/>
    <x v="4"/>
    <s v="Gym Bag"/>
    <x v="4"/>
    <n v="4"/>
    <n v="3354.6334999999999"/>
    <n v="10"/>
    <n v="12076.6806"/>
    <n v="3615.8123000000001"/>
    <x v="2"/>
    <n v="2024"/>
    <x v="3"/>
    <x v="3"/>
    <n v="0.29940448205610409"/>
    <x v="3"/>
    <x v="3"/>
  </r>
  <r>
    <s v="ORD-10348"/>
    <x v="271"/>
    <s v="Sarah Clark"/>
    <x v="3"/>
    <s v="Cargo Shorts"/>
    <x v="3"/>
    <n v="2"/>
    <n v="5490.4326000000001"/>
    <n v="25"/>
    <n v="8235.6489000000001"/>
    <n v="3853.3335999999999"/>
    <x v="0"/>
    <n v="2024"/>
    <x v="11"/>
    <x v="23"/>
    <n v="0.46788463748132825"/>
    <x v="23"/>
    <x v="23"/>
  </r>
  <r>
    <s v="ORD-10349"/>
    <x v="45"/>
    <s v="Donna Lewis"/>
    <x v="2"/>
    <s v="Webcam HD"/>
    <x v="0"/>
    <n v="1"/>
    <n v="11478.618999999999"/>
    <n v="0"/>
    <n v="11478.618999999999"/>
    <n v="1967.3576999999998"/>
    <x v="1"/>
    <n v="2025"/>
    <x v="4"/>
    <x v="16"/>
    <n v="0.17139323990107172"/>
    <x v="16"/>
    <x v="16"/>
  </r>
  <r>
    <s v="ORD-10350"/>
    <x v="81"/>
    <s v="Andrew Perez"/>
    <x v="0"/>
    <s v="Knife Set"/>
    <x v="2"/>
    <n v="1"/>
    <n v="4669.0442000000003"/>
    <n v="10"/>
    <n v="4202.5182999999997"/>
    <n v="1181.9286999999999"/>
    <x v="0"/>
    <n v="2025"/>
    <x v="2"/>
    <x v="9"/>
    <n v="0.28124296329655485"/>
    <x v="9"/>
    <x v="9"/>
  </r>
  <r>
    <s v="ORD-10351"/>
    <x v="272"/>
    <s v="Sandra Brown"/>
    <x v="4"/>
    <s v="Casual Sneakers"/>
    <x v="3"/>
    <n v="1"/>
    <n v="7068.8609999999999"/>
    <n v="5"/>
    <n v="6715.8910999999998"/>
    <n v="3002.6098999999999"/>
    <x v="0"/>
    <n v="2025"/>
    <x v="7"/>
    <x v="8"/>
    <n v="0.44709031985345921"/>
    <x v="8"/>
    <x v="8"/>
  </r>
  <r>
    <s v="ORD-10352"/>
    <x v="273"/>
    <s v="Joseph Lee"/>
    <x v="2"/>
    <s v="Wool Sweater"/>
    <x v="3"/>
    <n v="1"/>
    <n v="2895.6779999999999"/>
    <n v="5"/>
    <n v="2750.8941"/>
    <n v="976.58159999999998"/>
    <x v="0"/>
    <n v="2024"/>
    <x v="2"/>
    <x v="2"/>
    <n v="0.35500515995872034"/>
    <x v="2"/>
    <x v="2"/>
  </r>
  <r>
    <s v="ORD-10353"/>
    <x v="274"/>
    <s v="Ashley Wilson"/>
    <x v="4"/>
    <s v="Webcam HD"/>
    <x v="0"/>
    <n v="1"/>
    <n v="11096.3138"/>
    <n v="15"/>
    <n v="9431.7721000000001"/>
    <n v="1769.5809999999999"/>
    <x v="1"/>
    <n v="2024"/>
    <x v="1"/>
    <x v="11"/>
    <n v="0.18761914317246914"/>
    <x v="11"/>
    <x v="11"/>
  </r>
  <r>
    <s v="ORD-10354"/>
    <x v="220"/>
    <s v="Dorothy Hernandez"/>
    <x v="3"/>
    <s v="Foam Roller"/>
    <x v="4"/>
    <n v="1"/>
    <n v="3009.2339999999999"/>
    <n v="15"/>
    <n v="2557.8489"/>
    <n v="750.41589999999997"/>
    <x v="2"/>
    <n v="2024"/>
    <x v="7"/>
    <x v="10"/>
    <n v="0.29337772844987048"/>
    <x v="10"/>
    <x v="10"/>
  </r>
  <r>
    <s v="ORD-10355"/>
    <x v="245"/>
    <s v="Matthew Rodriguez"/>
    <x v="1"/>
    <s v="Athletic Socks"/>
    <x v="3"/>
    <n v="1"/>
    <n v="7370.7307000000001"/>
    <n v="10"/>
    <n v="6633.5629999999992"/>
    <n v="2732.9143999999997"/>
    <x v="1"/>
    <n v="2024"/>
    <x v="6"/>
    <x v="6"/>
    <n v="0.41198288159771757"/>
    <x v="6"/>
    <x v="6"/>
  </r>
  <r>
    <s v="ORD-10356"/>
    <x v="178"/>
    <s v="Michael Thomas"/>
    <x v="0"/>
    <s v="Mouse Wireless"/>
    <x v="0"/>
    <n v="5"/>
    <n v="10916.516799999999"/>
    <n v="20"/>
    <n v="43666.067199999998"/>
    <n v="5878.4155999999994"/>
    <x v="0"/>
    <n v="2025"/>
    <x v="0"/>
    <x v="13"/>
    <n v="0.13462205270457697"/>
    <x v="13"/>
    <x v="13"/>
  </r>
  <r>
    <s v="ORD-10357"/>
    <x v="257"/>
    <s v="Linda Clark"/>
    <x v="1"/>
    <s v="Face Mask Pack"/>
    <x v="1"/>
    <n v="1"/>
    <n v="4663.3663999999999"/>
    <n v="20"/>
    <n v="3730.3146000000002"/>
    <n v="2412.1186999999995"/>
    <x v="0"/>
    <n v="2025"/>
    <x v="11"/>
    <x v="19"/>
    <n v="0.64662607813292727"/>
    <x v="19"/>
    <x v="19"/>
  </r>
  <r>
    <s v="ORD-10358"/>
    <x v="174"/>
    <s v="Sarah Anderson"/>
    <x v="1"/>
    <s v="Cargo Shorts"/>
    <x v="3"/>
    <n v="2"/>
    <n v="2396.9778999999999"/>
    <n v="10"/>
    <n v="4314.1817000000001"/>
    <n v="1984.3910999999998"/>
    <x v="0"/>
    <n v="2025"/>
    <x v="5"/>
    <x v="5"/>
    <n v="0.45996929151129629"/>
    <x v="5"/>
    <x v="5"/>
  </r>
  <r>
    <s v="ORD-10359"/>
    <x v="275"/>
    <s v="Linda Harris"/>
    <x v="1"/>
    <s v="Rain Jacket"/>
    <x v="3"/>
    <n v="1"/>
    <n v="2031.7060999999999"/>
    <n v="20"/>
    <n v="1625.7433999999998"/>
    <n v="868.70339999999999"/>
    <x v="1"/>
    <n v="2024"/>
    <x v="3"/>
    <x v="3"/>
    <n v="0.53434225844004657"/>
    <x v="3"/>
    <x v="3"/>
  </r>
  <r>
    <s v="ORD-10360"/>
    <x v="276"/>
    <s v="Daniel Smith"/>
    <x v="2"/>
    <s v="Cotton T-Shirt"/>
    <x v="3"/>
    <n v="1"/>
    <n v="2126.3361"/>
    <n v="10"/>
    <n v="1913.4185999999997"/>
    <n v="705.93979999999999"/>
    <x v="1"/>
    <n v="2025"/>
    <x v="11"/>
    <x v="19"/>
    <n v="0.36894164193867462"/>
    <x v="19"/>
    <x v="19"/>
  </r>
  <r>
    <s v="ORD-10361"/>
    <x v="277"/>
    <s v="Kimberly Thomas"/>
    <x v="3"/>
    <s v="Swim Goggles"/>
    <x v="4"/>
    <n v="1"/>
    <n v="4237.5313999999998"/>
    <n v="20"/>
    <n v="3389.6466"/>
    <n v="804.35500000000002"/>
    <x v="1"/>
    <n v="2024"/>
    <x v="4"/>
    <x v="4"/>
    <n v="0.23729759910664433"/>
    <x v="4"/>
    <x v="4"/>
  </r>
  <r>
    <s v="ORD-10362"/>
    <x v="278"/>
    <s v="Kenneth Johnson"/>
    <x v="3"/>
    <s v="Jump Rope"/>
    <x v="4"/>
    <n v="1"/>
    <n v="3678.2680999999998"/>
    <n v="0"/>
    <n v="3678.2680999999998"/>
    <n v="795.8383"/>
    <x v="2"/>
    <n v="2024"/>
    <x v="10"/>
    <x v="17"/>
    <n v="0.21636223308464111"/>
    <x v="17"/>
    <x v="17"/>
  </r>
  <r>
    <s v="ORD-10363"/>
    <x v="279"/>
    <s v="Michelle Miller"/>
    <x v="2"/>
    <s v="Face Moisturizer"/>
    <x v="1"/>
    <n v="4"/>
    <n v="3575.1214"/>
    <n v="10"/>
    <n v="12870.626299999998"/>
    <n v="8123.9854999999989"/>
    <x v="0"/>
    <n v="2025"/>
    <x v="1"/>
    <x v="1"/>
    <n v="0.63120358797147269"/>
    <x v="1"/>
    <x v="1"/>
  </r>
  <r>
    <s v="ORD-10364"/>
    <x v="280"/>
    <s v="Emily Lopez"/>
    <x v="4"/>
    <s v="Body Lotion"/>
    <x v="1"/>
    <n v="1"/>
    <n v="4092.7474999999999"/>
    <n v="5"/>
    <n v="3888.3467000000001"/>
    <n v="1691.0381"/>
    <x v="1"/>
    <n v="2024"/>
    <x v="3"/>
    <x v="3"/>
    <n v="0.43489900219031391"/>
    <x v="3"/>
    <x v="3"/>
  </r>
  <r>
    <s v="ORD-10365"/>
    <x v="258"/>
    <s v="Christopher Gonzalez"/>
    <x v="4"/>
    <s v="Face Mask Pack"/>
    <x v="1"/>
    <n v="2"/>
    <n v="3042.3544999999999"/>
    <n v="10"/>
    <n v="5476.2380999999996"/>
    <n v="2523.7820999999999"/>
    <x v="0"/>
    <n v="2025"/>
    <x v="7"/>
    <x v="8"/>
    <n v="0.46086054950751687"/>
    <x v="8"/>
    <x v="8"/>
  </r>
  <r>
    <s v="ORD-10366"/>
    <x v="281"/>
    <s v="Anthony Lopez"/>
    <x v="1"/>
    <s v="Face Mask Pack"/>
    <x v="1"/>
    <n v="1"/>
    <n v="4278.2222999999994"/>
    <n v="10"/>
    <n v="3850.4946999999997"/>
    <n v="2333.5758000000001"/>
    <x v="1"/>
    <n v="2025"/>
    <x v="4"/>
    <x v="16"/>
    <n v="0.60604571147702146"/>
    <x v="16"/>
    <x v="16"/>
  </r>
  <r>
    <s v="ORD-10367"/>
    <x v="282"/>
    <s v="Mark Thompson"/>
    <x v="4"/>
    <s v="Portable Charger"/>
    <x v="0"/>
    <n v="4"/>
    <n v="11192.8364"/>
    <n v="5"/>
    <n v="42532.399799999999"/>
    <n v="4767.4593999999997"/>
    <x v="1"/>
    <n v="2024"/>
    <x v="9"/>
    <x v="15"/>
    <n v="0.11209006363191384"/>
    <x v="15"/>
    <x v="15"/>
  </r>
  <r>
    <s v="ORD-10368"/>
    <x v="283"/>
    <s v="Joshua Clark"/>
    <x v="1"/>
    <s v="Jump Rope"/>
    <x v="4"/>
    <n v="1"/>
    <n v="2186.8993"/>
    <n v="15"/>
    <n v="1858.5331999999999"/>
    <n v="560.20960000000002"/>
    <x v="0"/>
    <n v="2025"/>
    <x v="0"/>
    <x v="13"/>
    <n v="0.3014256619144603"/>
    <x v="13"/>
    <x v="13"/>
  </r>
  <r>
    <s v="ORD-10369"/>
    <x v="284"/>
    <s v="Richard Davis"/>
    <x v="4"/>
    <s v="Tablet Case"/>
    <x v="0"/>
    <n v="2"/>
    <n v="10644.928699999999"/>
    <n v="0"/>
    <n v="21289.857399999997"/>
    <n v="1934.2372"/>
    <x v="0"/>
    <n v="2025"/>
    <x v="8"/>
    <x v="14"/>
    <n v="9.085252022401992E-2"/>
    <x v="14"/>
    <x v="14"/>
  </r>
  <r>
    <s v="ORD-10370"/>
    <x v="43"/>
    <s v="Donna Wilson"/>
    <x v="2"/>
    <s v="Water Bottle"/>
    <x v="4"/>
    <n v="2"/>
    <n v="3997.1711999999998"/>
    <n v="15"/>
    <n v="6795.3802999999998"/>
    <n v="2227.5901999999996"/>
    <x v="0"/>
    <n v="2025"/>
    <x v="11"/>
    <x v="19"/>
    <n v="0.32780949728450071"/>
    <x v="19"/>
    <x v="19"/>
  </r>
  <r>
    <s v="ORD-10371"/>
    <x v="285"/>
    <s v="Sandra Lee"/>
    <x v="0"/>
    <s v="Shampoo Organic"/>
    <x v="1"/>
    <n v="1"/>
    <n v="4705.0036"/>
    <n v="10"/>
    <n v="4234.6925000000001"/>
    <n v="1728.8900999999998"/>
    <x v="0"/>
    <n v="2025"/>
    <x v="4"/>
    <x v="16"/>
    <n v="0.40826815642458097"/>
    <x v="16"/>
    <x v="16"/>
  </r>
  <r>
    <s v="ORD-10372"/>
    <x v="286"/>
    <s v="Linda Harris"/>
    <x v="4"/>
    <s v="Desk Lamp"/>
    <x v="2"/>
    <n v="3"/>
    <n v="3897.8096999999998"/>
    <n v="5"/>
    <n v="11108.6157"/>
    <n v="4218.6053999999995"/>
    <x v="0"/>
    <n v="2024"/>
    <x v="9"/>
    <x v="15"/>
    <n v="0.37975977510861225"/>
    <x v="15"/>
    <x v="15"/>
  </r>
  <r>
    <s v="ORD-10373"/>
    <x v="266"/>
    <s v="Daniel Ramirez"/>
    <x v="0"/>
    <s v="Water Bottle"/>
    <x v="4"/>
    <n v="4"/>
    <n v="1407.1480999999999"/>
    <n v="0"/>
    <n v="5628.5923999999995"/>
    <n v="1773.3661999999997"/>
    <x v="0"/>
    <n v="2024"/>
    <x v="1"/>
    <x v="11"/>
    <n v="0.31506388702084731"/>
    <x v="11"/>
    <x v="11"/>
  </r>
  <r>
    <s v="ORD-10374"/>
    <x v="45"/>
    <s v="Anthony Lewis"/>
    <x v="3"/>
    <s v="Resistance Bands"/>
    <x v="4"/>
    <n v="2"/>
    <n v="4851.6801000000005"/>
    <n v="10"/>
    <n v="8733.4027000000006"/>
    <n v="2465.1115"/>
    <x v="0"/>
    <n v="2025"/>
    <x v="4"/>
    <x v="16"/>
    <n v="0.28226243363311299"/>
    <x v="16"/>
    <x v="16"/>
  </r>
  <r>
    <s v="ORD-10375"/>
    <x v="32"/>
    <s v="Jessica Perez"/>
    <x v="0"/>
    <s v="Jump Rope"/>
    <x v="4"/>
    <n v="4"/>
    <n v="1136.5063"/>
    <n v="0"/>
    <n v="4546.0252"/>
    <n v="1042.8226"/>
    <x v="0"/>
    <n v="2024"/>
    <x v="5"/>
    <x v="18"/>
    <n v="0.22939217318900915"/>
    <x v="18"/>
    <x v="18"/>
  </r>
  <r>
    <s v="ORD-10376"/>
    <x v="202"/>
    <s v="Michelle Brown"/>
    <x v="0"/>
    <s v="USB-C Hub"/>
    <x v="0"/>
    <n v="4"/>
    <n v="4274.4371000000001"/>
    <n v="20"/>
    <n v="13677.820199999998"/>
    <n v="3338.5463999999997"/>
    <x v="1"/>
    <n v="2025"/>
    <x v="3"/>
    <x v="7"/>
    <n v="0.24408468244084683"/>
    <x v="7"/>
    <x v="7"/>
  </r>
  <r>
    <s v="ORD-10377"/>
    <x v="287"/>
    <s v="Michelle Brown"/>
    <x v="2"/>
    <s v="Shampoo Organic"/>
    <x v="1"/>
    <n v="1"/>
    <n v="678.49709999999993"/>
    <n v="5"/>
    <n v="644.43029999999999"/>
    <n v="264.01769999999999"/>
    <x v="1"/>
    <n v="2025"/>
    <x v="2"/>
    <x v="9"/>
    <n v="0.40969162995594716"/>
    <x v="9"/>
    <x v="9"/>
  </r>
  <r>
    <s v="ORD-10378"/>
    <x v="288"/>
    <s v="Mary Brown"/>
    <x v="4"/>
    <s v="Bluetooth Speaker"/>
    <x v="0"/>
    <n v="5"/>
    <n v="6541.7718999999988"/>
    <n v="10"/>
    <n v="29437.500399999997"/>
    <n v="2498.232"/>
    <x v="1"/>
    <n v="2024"/>
    <x v="9"/>
    <x v="15"/>
    <n v="8.4865629420084868E-2"/>
    <x v="15"/>
    <x v="15"/>
  </r>
  <r>
    <s v="ORD-10379"/>
    <x v="163"/>
    <s v="Emily Hernandez"/>
    <x v="3"/>
    <s v="Body Lotion"/>
    <x v="1"/>
    <n v="1"/>
    <n v="2494.4467999999997"/>
    <n v="5"/>
    <n v="2369.5351999999998"/>
    <n v="1350.3700999999999"/>
    <x v="1"/>
    <n v="2025"/>
    <x v="10"/>
    <x v="21"/>
    <n v="0.569888178913738"/>
    <x v="21"/>
    <x v="21"/>
  </r>
  <r>
    <s v="ORD-10380"/>
    <x v="289"/>
    <s v="Mark Clark"/>
    <x v="1"/>
    <s v="Dumbbells 10lb"/>
    <x v="4"/>
    <n v="4"/>
    <n v="1514.08"/>
    <n v="0"/>
    <n v="6056.32"/>
    <n v="1311.5717999999999"/>
    <x v="1"/>
    <n v="2025"/>
    <x v="11"/>
    <x v="19"/>
    <n v="0.21656249999999999"/>
    <x v="19"/>
    <x v="19"/>
  </r>
  <r>
    <s v="ORD-10381"/>
    <x v="83"/>
    <s v="Donna Moore"/>
    <x v="1"/>
    <s v="Body Lotion"/>
    <x v="1"/>
    <n v="1"/>
    <n v="3349.9019999999996"/>
    <n v="10"/>
    <n v="3014.9117999999999"/>
    <n v="1419.4499999999998"/>
    <x v="1"/>
    <n v="2024"/>
    <x v="8"/>
    <x v="12"/>
    <n v="0.47080979284369112"/>
    <x v="12"/>
    <x v="12"/>
  </r>
  <r>
    <s v="ORD-10382"/>
    <x v="127"/>
    <s v="Christopher Lee"/>
    <x v="3"/>
    <s v="Resistance Bands"/>
    <x v="4"/>
    <n v="1"/>
    <n v="815.71059999999989"/>
    <n v="5"/>
    <n v="775.01969999999994"/>
    <n v="181.68959999999998"/>
    <x v="1"/>
    <n v="2025"/>
    <x v="5"/>
    <x v="5"/>
    <n v="0.23443223443223443"/>
    <x v="5"/>
    <x v="5"/>
  </r>
  <r>
    <s v="ORD-10383"/>
    <x v="49"/>
    <s v="Jessica Davis"/>
    <x v="1"/>
    <s v="Dumbbells 10lb"/>
    <x v="4"/>
    <n v="1"/>
    <n v="4152.3644000000004"/>
    <n v="0"/>
    <n v="4152.3644000000004"/>
    <n v="1039.0373999999999"/>
    <x v="0"/>
    <n v="2025"/>
    <x v="3"/>
    <x v="7"/>
    <n v="0.25022789425706471"/>
    <x v="7"/>
    <x v="7"/>
  </r>
  <r>
    <s v="ORD-10384"/>
    <x v="290"/>
    <s v="Richard Davis"/>
    <x v="3"/>
    <s v="Yoga Pants"/>
    <x v="3"/>
    <n v="1"/>
    <n v="4674.7219999999998"/>
    <n v="15"/>
    <n v="3973.5137"/>
    <n v="1551.9319999999998"/>
    <x v="2"/>
    <n v="2024"/>
    <x v="3"/>
    <x v="3"/>
    <n v="0.39056918313884254"/>
    <x v="3"/>
    <x v="3"/>
  </r>
  <r>
    <s v="ORD-10385"/>
    <x v="291"/>
    <s v="Sarah Williams"/>
    <x v="0"/>
    <s v="Blender"/>
    <x v="2"/>
    <n v="3"/>
    <n v="1198.9621"/>
    <n v="10"/>
    <n v="3237.2923000000001"/>
    <n v="915.07209999999998"/>
    <x v="1"/>
    <n v="2024"/>
    <x v="7"/>
    <x v="10"/>
    <n v="0.28266588716749486"/>
    <x v="10"/>
    <x v="10"/>
  </r>
  <r>
    <s v="ORD-10386"/>
    <x v="18"/>
    <s v="Kevin Jones"/>
    <x v="1"/>
    <s v="Hair Oil"/>
    <x v="1"/>
    <n v="2"/>
    <n v="3869.4206999999997"/>
    <n v="5"/>
    <n v="7351.8046999999997"/>
    <n v="3440.7467999999999"/>
    <x v="0"/>
    <n v="2024"/>
    <x v="7"/>
    <x v="10"/>
    <n v="0.46801390140301197"/>
    <x v="10"/>
    <x v="10"/>
  </r>
  <r>
    <s v="ORD-10387"/>
    <x v="292"/>
    <s v="Thomas Williams"/>
    <x v="0"/>
    <s v="Shampoo Organic"/>
    <x v="1"/>
    <n v="2"/>
    <n v="4089.9085999999998"/>
    <n v="0"/>
    <n v="8179.8171999999995"/>
    <n v="4253.6185000000005"/>
    <x v="0"/>
    <n v="2025"/>
    <x v="4"/>
    <x v="16"/>
    <n v="0.52001388246182334"/>
    <x v="16"/>
    <x v="16"/>
  </r>
  <r>
    <s v="ORD-10388"/>
    <x v="125"/>
    <s v="Susan Taylor"/>
    <x v="0"/>
    <s v="Cycling Gloves"/>
    <x v="4"/>
    <n v="2"/>
    <n v="5650.3572999999997"/>
    <n v="5"/>
    <n v="10735.773499999999"/>
    <n v="3629.0605"/>
    <x v="0"/>
    <n v="2024"/>
    <x v="2"/>
    <x v="2"/>
    <n v="0.33803437637725875"/>
    <x v="2"/>
    <x v="2"/>
  </r>
  <r>
    <s v="ORD-10389"/>
    <x v="293"/>
    <s v="Mark Brown"/>
    <x v="3"/>
    <s v="Cycling Gloves"/>
    <x v="4"/>
    <n v="1"/>
    <n v="2538.9228999999996"/>
    <n v="5"/>
    <n v="2412.1186999999995"/>
    <n v="416.37200000000001"/>
    <x v="2"/>
    <n v="2025"/>
    <x v="0"/>
    <x v="13"/>
    <n v="0.17261671243624954"/>
    <x v="13"/>
    <x v="13"/>
  </r>
  <r>
    <s v="ORD-10390"/>
    <x v="294"/>
    <s v="Emily Sanchez"/>
    <x v="3"/>
    <s v="Cotton T-Shirt"/>
    <x v="3"/>
    <n v="4"/>
    <n v="2035.4913000000001"/>
    <n v="20"/>
    <n v="6513.3828999999996"/>
    <n v="2921.2280999999998"/>
    <x v="1"/>
    <n v="2024"/>
    <x v="8"/>
    <x v="12"/>
    <n v="0.44849629522010753"/>
    <x v="12"/>
    <x v="12"/>
  </r>
  <r>
    <s v="ORD-10391"/>
    <x v="295"/>
    <s v="Matthew Hernandez"/>
    <x v="3"/>
    <s v="Webcam HD"/>
    <x v="0"/>
    <n v="2"/>
    <n v="11903.5077"/>
    <n v="10"/>
    <n v="21426.124599999999"/>
    <n v="4216.7128000000002"/>
    <x v="0"/>
    <n v="2025"/>
    <x v="9"/>
    <x v="22"/>
    <n v="0.19680240261461004"/>
    <x v="22"/>
    <x v="22"/>
  </r>
  <r>
    <s v="ORD-10392"/>
    <x v="296"/>
    <s v="Barbara Robinson"/>
    <x v="4"/>
    <s v="Cutting Board"/>
    <x v="2"/>
    <n v="1"/>
    <n v="4723.9295999999995"/>
    <n v="15"/>
    <n v="4015.1508999999996"/>
    <n v="804.35500000000002"/>
    <x v="0"/>
    <n v="2024"/>
    <x v="10"/>
    <x v="17"/>
    <n v="0.20032995522036298"/>
    <x v="17"/>
    <x v="17"/>
  </r>
  <r>
    <s v="ORD-10393"/>
    <x v="14"/>
    <s v="Carol Smith"/>
    <x v="1"/>
    <s v="Throw Blanket"/>
    <x v="2"/>
    <n v="2"/>
    <n v="4626.4606999999996"/>
    <n v="15"/>
    <n v="7864.6992999999993"/>
    <n v="1826.3589999999999"/>
    <x v="2"/>
    <n v="2024"/>
    <x v="3"/>
    <x v="3"/>
    <n v="0.23222235591384913"/>
    <x v="3"/>
    <x v="3"/>
  </r>
  <r>
    <s v="ORD-10394"/>
    <x v="1"/>
    <s v="Emily Moore"/>
    <x v="2"/>
    <s v="Pillow Set"/>
    <x v="2"/>
    <n v="2"/>
    <n v="1545.3078999999998"/>
    <n v="10"/>
    <n v="2781.1756999999998"/>
    <n v="621.71910000000003"/>
    <x v="0"/>
    <n v="2025"/>
    <x v="1"/>
    <x v="1"/>
    <n v="0.22354542361347399"/>
    <x v="1"/>
    <x v="1"/>
  </r>
  <r>
    <s v="ORD-10395"/>
    <x v="105"/>
    <s v="Michelle Miller"/>
    <x v="3"/>
    <s v="Hair Oil"/>
    <x v="1"/>
    <n v="1"/>
    <n v="2039.2764999999999"/>
    <n v="0"/>
    <n v="2039.2764999999999"/>
    <n v="1297.3773000000001"/>
    <x v="1"/>
    <n v="2024"/>
    <x v="2"/>
    <x v="2"/>
    <n v="0.63619489559164744"/>
    <x v="2"/>
    <x v="2"/>
  </r>
  <r>
    <s v="ORD-10396"/>
    <x v="297"/>
    <s v="James Jones"/>
    <x v="2"/>
    <s v="Cotton T-Shirt"/>
    <x v="3"/>
    <n v="1"/>
    <n v="3798.4481999999998"/>
    <n v="0"/>
    <n v="3798.4481999999998"/>
    <n v="1386.3295000000001"/>
    <x v="0"/>
    <n v="2025"/>
    <x v="3"/>
    <x v="7"/>
    <n v="0.36497259591429998"/>
    <x v="7"/>
    <x v="7"/>
  </r>
  <r>
    <s v="ORD-10397"/>
    <x v="298"/>
    <s v="Kevin Lee"/>
    <x v="1"/>
    <s v="Webcam HD"/>
    <x v="0"/>
    <n v="3"/>
    <n v="2366.6963000000001"/>
    <n v="10"/>
    <n v="6390.3638999999994"/>
    <n v="531.82060000000001"/>
    <x v="0"/>
    <n v="2025"/>
    <x v="8"/>
    <x v="14"/>
    <n v="8.3222271583000162E-2"/>
    <x v="14"/>
    <x v="14"/>
  </r>
  <r>
    <s v="ORD-10398"/>
    <x v="299"/>
    <s v="Mary Anderson"/>
    <x v="0"/>
    <s v="Dumbbells 10lb"/>
    <x v="4"/>
    <n v="1"/>
    <n v="4340.6780999999992"/>
    <n v="15"/>
    <n v="3689.6237000000001"/>
    <n v="1201.8009999999999"/>
    <x v="1"/>
    <n v="2024"/>
    <x v="9"/>
    <x v="15"/>
    <n v="0.32572454475506535"/>
    <x v="15"/>
    <x v="15"/>
  </r>
  <r>
    <s v="ORD-10399"/>
    <x v="75"/>
    <s v="Carol Ramirez"/>
    <x v="0"/>
    <s v="Face Mask Pack"/>
    <x v="1"/>
    <n v="1"/>
    <n v="3673.5365999999999"/>
    <n v="0"/>
    <n v="3673.5365999999999"/>
    <n v="1929.5056999999999"/>
    <x v="2"/>
    <n v="2025"/>
    <x v="7"/>
    <x v="8"/>
    <n v="0.52524471921689853"/>
    <x v="8"/>
    <x v="8"/>
  </r>
  <r>
    <s v="ORD-10400"/>
    <x v="250"/>
    <s v="Donald Perez"/>
    <x v="4"/>
    <s v="Smart Watch"/>
    <x v="0"/>
    <n v="1"/>
    <n v="8547.9278999999988"/>
    <n v="0"/>
    <n v="8547.9278999999988"/>
    <n v="1921.9352999999999"/>
    <x v="1"/>
    <n v="2024"/>
    <x v="2"/>
    <x v="2"/>
    <n v="0.22484224510129527"/>
    <x v="2"/>
    <x v="2"/>
  </r>
  <r>
    <s v="ORD-10401"/>
    <x v="300"/>
    <s v="Steven Jones"/>
    <x v="1"/>
    <s v="Cycling Gloves"/>
    <x v="4"/>
    <n v="1"/>
    <n v="3074.5286999999998"/>
    <n v="0"/>
    <n v="3074.5286999999998"/>
    <n v="998.34649999999999"/>
    <x v="2"/>
    <n v="2024"/>
    <x v="6"/>
    <x v="6"/>
    <n v="0.324715297014466"/>
    <x v="6"/>
    <x v="6"/>
  </r>
  <r>
    <s v="ORD-10402"/>
    <x v="301"/>
    <s v="Anthony Harris"/>
    <x v="3"/>
    <s v="Mouse Wireless"/>
    <x v="0"/>
    <n v="2"/>
    <n v="7370.7307000000001"/>
    <n v="15"/>
    <n v="12529.958299999998"/>
    <n v="1484.7447"/>
    <x v="0"/>
    <n v="2025"/>
    <x v="9"/>
    <x v="22"/>
    <n v="0.11849558190468999"/>
    <x v="22"/>
    <x v="22"/>
  </r>
  <r>
    <s v="ORD-10403"/>
    <x v="188"/>
    <s v="Kimberly Taylor"/>
    <x v="0"/>
    <s v="Nail Polish Set"/>
    <x v="1"/>
    <n v="1"/>
    <n v="2963.8116"/>
    <n v="15"/>
    <n v="2519.0506"/>
    <n v="1586.9450999999999"/>
    <x v="2"/>
    <n v="2024"/>
    <x v="7"/>
    <x v="10"/>
    <n v="0.62997746055597292"/>
    <x v="10"/>
    <x v="10"/>
  </r>
  <r>
    <s v="ORD-10404"/>
    <x v="302"/>
    <s v="Mary Anderson"/>
    <x v="4"/>
    <s v="Body Lotion"/>
    <x v="1"/>
    <n v="2"/>
    <n v="2104.5711999999999"/>
    <n v="0"/>
    <n v="4209.1423999999997"/>
    <n v="2116.8730999999998"/>
    <x v="0"/>
    <n v="2024"/>
    <x v="11"/>
    <x v="23"/>
    <n v="0.50292266187050361"/>
    <x v="23"/>
    <x v="23"/>
  </r>
  <r>
    <s v="ORD-10405"/>
    <x v="303"/>
    <s v="Anthony Smith"/>
    <x v="2"/>
    <s v="Lip Balm Set"/>
    <x v="1"/>
    <n v="1"/>
    <n v="2126.3361"/>
    <n v="5"/>
    <n v="2020.3505"/>
    <n v="1228.2973999999999"/>
    <x v="0"/>
    <n v="2024"/>
    <x v="4"/>
    <x v="4"/>
    <n v="0.60796252927400463"/>
    <x v="4"/>
    <x v="4"/>
  </r>
  <r>
    <s v="ORD-10406"/>
    <x v="232"/>
    <s v="Joshua Lewis"/>
    <x v="3"/>
    <s v="Eye Cream"/>
    <x v="1"/>
    <n v="2"/>
    <n v="4608.4809999999998"/>
    <n v="0"/>
    <n v="9216.9619999999995"/>
    <n v="3958.3728999999998"/>
    <x v="1"/>
    <n v="2024"/>
    <x v="3"/>
    <x v="3"/>
    <n v="0.42946611909650922"/>
    <x v="3"/>
    <x v="3"/>
  </r>
  <r>
    <s v="ORD-10407"/>
    <x v="304"/>
    <s v="Paul Anderson"/>
    <x v="4"/>
    <s v="Eye Cream"/>
    <x v="1"/>
    <n v="2"/>
    <n v="4233.7461999999996"/>
    <n v="10"/>
    <n v="7620.5538999999999"/>
    <n v="3124.6826000000001"/>
    <x v="0"/>
    <n v="2024"/>
    <x v="3"/>
    <x v="3"/>
    <n v="0.41003352787780956"/>
    <x v="3"/>
    <x v="3"/>
  </r>
  <r>
    <s v="ORD-10408"/>
    <x v="305"/>
    <s v="Sarah Sanchez"/>
    <x v="4"/>
    <s v="Knife Set"/>
    <x v="2"/>
    <n v="2"/>
    <n v="2026.0282999999999"/>
    <n v="5"/>
    <n v="3849.5483999999997"/>
    <n v="884.79049999999995"/>
    <x v="0"/>
    <n v="2025"/>
    <x v="9"/>
    <x v="22"/>
    <n v="0.22984267453294002"/>
    <x v="22"/>
    <x v="22"/>
  </r>
  <r>
    <s v="ORD-10409"/>
    <x v="168"/>
    <s v="James Jackson"/>
    <x v="0"/>
    <s v="Body Lotion"/>
    <x v="1"/>
    <n v="2"/>
    <n v="2235.1606000000002"/>
    <n v="10"/>
    <n v="4023.6676000000002"/>
    <n v="2612.7342999999996"/>
    <x v="0"/>
    <n v="2025"/>
    <x v="10"/>
    <x v="21"/>
    <n v="0.64934148635936018"/>
    <x v="21"/>
    <x v="21"/>
  </r>
  <r>
    <s v="ORD-10410"/>
    <x v="81"/>
    <s v="Michael Lee"/>
    <x v="4"/>
    <s v="Mouse Wireless"/>
    <x v="0"/>
    <n v="2"/>
    <n v="9656.0452000000005"/>
    <n v="0"/>
    <n v="19312.090400000001"/>
    <n v="3102.9177"/>
    <x v="0"/>
    <n v="2025"/>
    <x v="2"/>
    <x v="9"/>
    <n v="0.16067228537828301"/>
    <x v="9"/>
    <x v="9"/>
  </r>
  <r>
    <s v="ORD-10411"/>
    <x v="266"/>
    <s v="Thomas Harris"/>
    <x v="4"/>
    <s v="Resistance Bands"/>
    <x v="4"/>
    <n v="3"/>
    <n v="5121.3755999999994"/>
    <n v="0"/>
    <n v="15364.1268"/>
    <n v="4139.1162000000004"/>
    <x v="1"/>
    <n v="2024"/>
    <x v="1"/>
    <x v="11"/>
    <n v="0.26940133037694014"/>
    <x v="11"/>
    <x v="11"/>
  </r>
  <r>
    <s v="ORD-10412"/>
    <x v="306"/>
    <s v="Nancy Harris"/>
    <x v="3"/>
    <s v="Eye Cream"/>
    <x v="1"/>
    <n v="2"/>
    <n v="774.07339999999999"/>
    <n v="10"/>
    <n v="1392.9536000000001"/>
    <n v="694.58420000000001"/>
    <x v="0"/>
    <n v="2025"/>
    <x v="5"/>
    <x v="5"/>
    <n v="0.49864130434782605"/>
    <x v="5"/>
    <x v="5"/>
  </r>
  <r>
    <s v="ORD-10413"/>
    <x v="307"/>
    <s v="Donald Lopez"/>
    <x v="4"/>
    <s v="Polo Shirt"/>
    <x v="3"/>
    <n v="1"/>
    <n v="7919.5846999999994"/>
    <n v="15"/>
    <n v="6731.9781999999996"/>
    <n v="2643.9621999999999"/>
    <x v="0"/>
    <n v="2025"/>
    <x v="11"/>
    <x v="19"/>
    <n v="0.39274669665448414"/>
    <x v="19"/>
    <x v="19"/>
  </r>
  <r>
    <s v="ORD-10414"/>
    <x v="308"/>
    <s v="Richard Moore"/>
    <x v="1"/>
    <s v="Polo Shirt"/>
    <x v="3"/>
    <n v="2"/>
    <n v="2089.4303999999997"/>
    <n v="0"/>
    <n v="4178.8607999999995"/>
    <n v="1368.3498"/>
    <x v="0"/>
    <n v="2025"/>
    <x v="8"/>
    <x v="14"/>
    <n v="0.32744565217391308"/>
    <x v="14"/>
    <x v="14"/>
  </r>
  <r>
    <s v="ORD-10415"/>
    <x v="309"/>
    <s v="Thomas Johnson"/>
    <x v="1"/>
    <s v="Lip Balm Set"/>
    <x v="1"/>
    <n v="5"/>
    <n v="1847.1776"/>
    <n v="0"/>
    <n v="9235.887999999999"/>
    <n v="4636.87"/>
    <x v="0"/>
    <n v="2025"/>
    <x v="8"/>
    <x v="14"/>
    <n v="0.50204918032786894"/>
    <x v="14"/>
    <x v="14"/>
  </r>
  <r>
    <s v="ORD-10416"/>
    <x v="287"/>
    <s v="James Anderson"/>
    <x v="0"/>
    <s v="Smart Watch"/>
    <x v="0"/>
    <n v="1"/>
    <n v="6426.3232999999991"/>
    <n v="5"/>
    <n v="6104.5812999999998"/>
    <n v="537.49839999999995"/>
    <x v="0"/>
    <n v="2025"/>
    <x v="2"/>
    <x v="9"/>
    <n v="8.8048364594636483E-2"/>
    <x v="9"/>
    <x v="9"/>
  </r>
  <r>
    <s v="ORD-10417"/>
    <x v="149"/>
    <s v="Jessica Harris"/>
    <x v="0"/>
    <s v="Portable Charger"/>
    <x v="0"/>
    <n v="2"/>
    <n v="7999.0738999999994"/>
    <n v="5"/>
    <n v="15198.524300000001"/>
    <n v="1954.1094999999998"/>
    <x v="0"/>
    <n v="2025"/>
    <x v="2"/>
    <x v="9"/>
    <n v="0.12857231803748209"/>
    <x v="9"/>
    <x v="9"/>
  </r>
  <r>
    <s v="ORD-10418"/>
    <x v="310"/>
    <s v="Andrew Thompson"/>
    <x v="3"/>
    <s v="Eye Cream"/>
    <x v="1"/>
    <n v="1"/>
    <n v="3392.4854999999998"/>
    <n v="15"/>
    <n v="2883.3761"/>
    <n v="1635.2064"/>
    <x v="0"/>
    <n v="2024"/>
    <x v="7"/>
    <x v="10"/>
    <n v="0.56711519527404008"/>
    <x v="10"/>
    <x v="10"/>
  </r>
  <r>
    <s v="ORD-10419"/>
    <x v="311"/>
    <s v="Kenneth Thompson"/>
    <x v="4"/>
    <s v="Jump Rope"/>
    <x v="4"/>
    <n v="2"/>
    <n v="4405.9727999999996"/>
    <n v="10"/>
    <n v="7930.9403000000002"/>
    <n v="1363.6182999999999"/>
    <x v="0"/>
    <n v="2024"/>
    <x v="7"/>
    <x v="10"/>
    <n v="0.17193652308793697"/>
    <x v="10"/>
    <x v="10"/>
  </r>
  <r>
    <s v="ORD-10420"/>
    <x v="312"/>
    <s v="Joseph Clark"/>
    <x v="2"/>
    <s v="Hair Oil"/>
    <x v="1"/>
    <n v="1"/>
    <n v="3144.5548999999996"/>
    <n v="0"/>
    <n v="3144.5548999999996"/>
    <n v="1835.8219999999999"/>
    <x v="0"/>
    <n v="2025"/>
    <x v="0"/>
    <x v="13"/>
    <n v="0.58380981041227809"/>
    <x v="13"/>
    <x v="13"/>
  </r>
  <r>
    <s v="ORD-10421"/>
    <x v="183"/>
    <s v="Daniel Garcia"/>
    <x v="4"/>
    <s v="Cycling Gloves"/>
    <x v="4"/>
    <n v="1"/>
    <n v="5484.7547999999997"/>
    <n v="0"/>
    <n v="5484.7547999999997"/>
    <n v="1699.5547999999999"/>
    <x v="1"/>
    <n v="2025"/>
    <x v="7"/>
    <x v="8"/>
    <n v="0.30986887508626637"/>
    <x v="8"/>
    <x v="8"/>
  </r>
  <r>
    <s v="ORD-10422"/>
    <x v="281"/>
    <s v="Robert Martin"/>
    <x v="2"/>
    <s v="Denim Jacket"/>
    <x v="3"/>
    <n v="3"/>
    <n v="7212.6985999999997"/>
    <n v="10"/>
    <n v="19473.9077"/>
    <n v="9490.4426999999996"/>
    <x v="1"/>
    <n v="2025"/>
    <x v="4"/>
    <x v="16"/>
    <n v="0.48734146459983479"/>
    <x v="16"/>
    <x v="16"/>
  </r>
  <r>
    <s v="ORD-10423"/>
    <x v="40"/>
    <s v="Joshua Johnson"/>
    <x v="2"/>
    <s v="Sunscreen SPF50"/>
    <x v="1"/>
    <n v="3"/>
    <n v="2566.3656000000001"/>
    <n v="0"/>
    <n v="7699.0967999999993"/>
    <n v="3914.8430999999996"/>
    <x v="0"/>
    <n v="2024"/>
    <x v="9"/>
    <x v="15"/>
    <n v="0.50848082595870203"/>
    <x v="15"/>
    <x v="15"/>
  </r>
  <r>
    <s v="ORD-10424"/>
    <x v="313"/>
    <s v="Thomas Thomas"/>
    <x v="4"/>
    <s v="Resistance Bands"/>
    <x v="4"/>
    <n v="5"/>
    <n v="5038.1012000000001"/>
    <n v="20"/>
    <n v="20152.4048"/>
    <n v="4539.4011"/>
    <x v="1"/>
    <n v="2025"/>
    <x v="0"/>
    <x v="13"/>
    <n v="0.22525356874530428"/>
    <x v="13"/>
    <x v="13"/>
  </r>
  <r>
    <s v="ORD-10425"/>
    <x v="261"/>
    <s v="Anthony Gonzalez"/>
    <x v="1"/>
    <s v="Jump Rope"/>
    <x v="4"/>
    <n v="4"/>
    <n v="960.49450000000002"/>
    <n v="10"/>
    <n v="3457.7801999999997"/>
    <n v="885.7367999999999"/>
    <x v="1"/>
    <n v="2024"/>
    <x v="0"/>
    <x v="0"/>
    <n v="0.25615763546798032"/>
    <x v="0"/>
    <x v="0"/>
  </r>
  <r>
    <s v="ORD-10426"/>
    <x v="314"/>
    <s v="Richard Harris"/>
    <x v="1"/>
    <s v="Polo Shirt"/>
    <x v="3"/>
    <n v="2"/>
    <n v="7627.177999999999"/>
    <n v="0"/>
    <n v="15254.355999999998"/>
    <n v="8093.7038999999995"/>
    <x v="0"/>
    <n v="2024"/>
    <x v="2"/>
    <x v="2"/>
    <n v="0.53058312655086848"/>
    <x v="2"/>
    <x v="2"/>
  </r>
  <r>
    <s v="ORD-10427"/>
    <x v="315"/>
    <s v="Betty Taylor"/>
    <x v="1"/>
    <s v="Webcam HD"/>
    <x v="0"/>
    <n v="1"/>
    <n v="13217.9184"/>
    <n v="0"/>
    <n v="13217.9184"/>
    <n v="2724.3977"/>
    <x v="0"/>
    <n v="2024"/>
    <x v="4"/>
    <x v="4"/>
    <n v="0.2061139747995418"/>
    <x v="4"/>
    <x v="4"/>
  </r>
  <r>
    <s v="ORD-10428"/>
    <x v="316"/>
    <s v="James Ramirez"/>
    <x v="0"/>
    <s v="Eye Cream"/>
    <x v="1"/>
    <n v="4"/>
    <n v="4524.2602999999999"/>
    <n v="0"/>
    <n v="18097.0412"/>
    <n v="8119.253999999999"/>
    <x v="1"/>
    <n v="2024"/>
    <x v="8"/>
    <x v="12"/>
    <n v="0.44865090985149547"/>
    <x v="12"/>
    <x v="12"/>
  </r>
  <r>
    <s v="ORD-10429"/>
    <x v="317"/>
    <s v="Anthony Anderson"/>
    <x v="4"/>
    <s v="Resistance Bands"/>
    <x v="4"/>
    <n v="3"/>
    <n v="3060.3342000000002"/>
    <n v="10"/>
    <n v="8263.0915999999997"/>
    <n v="1435.5371"/>
    <x v="1"/>
    <n v="2025"/>
    <x v="10"/>
    <x v="21"/>
    <n v="0.17372881355932204"/>
    <x v="21"/>
    <x v="21"/>
  </r>
  <r>
    <s v="ORD-10430"/>
    <x v="316"/>
    <s v="David Jones"/>
    <x v="0"/>
    <s v="Shampoo Organic"/>
    <x v="1"/>
    <n v="1"/>
    <n v="3682.0532999999996"/>
    <n v="0"/>
    <n v="3682.0532999999996"/>
    <n v="2392.2464"/>
    <x v="1"/>
    <n v="2024"/>
    <x v="8"/>
    <x v="12"/>
    <n v="0.6497044461578001"/>
    <x v="12"/>
    <x v="12"/>
  </r>
  <r>
    <s v="ORD-10431"/>
    <x v="3"/>
    <s v="Susan Thompson"/>
    <x v="3"/>
    <s v="Rain Jacket"/>
    <x v="3"/>
    <n v="1"/>
    <n v="5946.5492000000004"/>
    <n v="20"/>
    <n v="4757.0501000000004"/>
    <n v="2026.9746"/>
    <x v="1"/>
    <n v="2024"/>
    <x v="3"/>
    <x v="3"/>
    <n v="0.42609906504873679"/>
    <x v="3"/>
    <x v="3"/>
  </r>
  <r>
    <s v="ORD-10432"/>
    <x v="130"/>
    <s v="Susan Lopez"/>
    <x v="1"/>
    <s v="Foam Roller"/>
    <x v="4"/>
    <n v="1"/>
    <n v="5351.3264999999992"/>
    <n v="5"/>
    <n v="5083.5235999999995"/>
    <n v="833.69029999999998"/>
    <x v="0"/>
    <n v="2024"/>
    <x v="10"/>
    <x v="17"/>
    <n v="0.16399851079672376"/>
    <x v="17"/>
    <x v="17"/>
  </r>
  <r>
    <s v="ORD-10433"/>
    <x v="136"/>
    <s v="James Jackson"/>
    <x v="4"/>
    <s v="USB-C Hub"/>
    <x v="0"/>
    <n v="3"/>
    <n v="10996.952299999999"/>
    <n v="0"/>
    <n v="32990.856899999999"/>
    <n v="3336.6537999999996"/>
    <x v="0"/>
    <n v="2024"/>
    <x v="11"/>
    <x v="23"/>
    <n v="0.10113874308005621"/>
    <x v="23"/>
    <x v="23"/>
  </r>
  <r>
    <s v="ORD-10434"/>
    <x v="204"/>
    <s v="Ashley Lee"/>
    <x v="2"/>
    <s v="Face Mask Pack"/>
    <x v="1"/>
    <n v="1"/>
    <n v="3312.0499999999997"/>
    <n v="5"/>
    <n v="3146.4474999999998"/>
    <n v="1437.4296999999999"/>
    <x v="1"/>
    <n v="2024"/>
    <x v="11"/>
    <x v="23"/>
    <n v="0.45684210526315788"/>
    <x v="23"/>
    <x v="23"/>
  </r>
  <r>
    <s v="ORD-10435"/>
    <x v="223"/>
    <s v="Jennifer Brown"/>
    <x v="3"/>
    <s v="Perfume Travel"/>
    <x v="1"/>
    <n v="2"/>
    <n v="1460.1408999999999"/>
    <n v="5"/>
    <n v="2774.5515999999998"/>
    <n v="1741.1919999999998"/>
    <x v="0"/>
    <n v="2025"/>
    <x v="4"/>
    <x v="16"/>
    <n v="0.62755798090040926"/>
    <x v="16"/>
    <x v="16"/>
  </r>
  <r>
    <s v="ORD-10436"/>
    <x v="318"/>
    <s v="Barbara Perez"/>
    <x v="4"/>
    <s v="Blender"/>
    <x v="2"/>
    <n v="2"/>
    <n v="4877.2302"/>
    <n v="0"/>
    <n v="9754.4603999999999"/>
    <n v="3109.5418"/>
    <x v="1"/>
    <n v="2025"/>
    <x v="8"/>
    <x v="14"/>
    <n v="0.31878152890958478"/>
    <x v="14"/>
    <x v="14"/>
  </r>
  <r>
    <s v="ORD-10437"/>
    <x v="88"/>
    <s v="Michelle Martin"/>
    <x v="1"/>
    <s v="USB-C Hub"/>
    <x v="0"/>
    <n v="5"/>
    <n v="3435.0689999999995"/>
    <n v="5"/>
    <n v="16317.0509"/>
    <n v="2333.5758000000001"/>
    <x v="2"/>
    <n v="2024"/>
    <x v="1"/>
    <x v="11"/>
    <n v="0.14301455663167661"/>
    <x v="11"/>
    <x v="11"/>
  </r>
  <r>
    <s v="ORD-10438"/>
    <x v="319"/>
    <s v="Michael Jackson"/>
    <x v="2"/>
    <s v="Knife Set"/>
    <x v="2"/>
    <n v="2"/>
    <n v="4652.9570999999996"/>
    <n v="5"/>
    <n v="8840.3346000000001"/>
    <n v="3139.8233999999998"/>
    <x v="1"/>
    <n v="2024"/>
    <x v="4"/>
    <x v="4"/>
    <n v="0.35517019910083492"/>
    <x v="4"/>
    <x v="4"/>
  </r>
  <r>
    <s v="ORD-10439"/>
    <x v="320"/>
    <s v="Elizabeth Gonzalez"/>
    <x v="1"/>
    <s v="Cutting Board"/>
    <x v="2"/>
    <n v="2"/>
    <n v="3672.5902999999998"/>
    <n v="15"/>
    <n v="6243.6873999999998"/>
    <n v="1674.0047"/>
    <x v="1"/>
    <n v="2024"/>
    <x v="0"/>
    <x v="0"/>
    <n v="0.26811154895422856"/>
    <x v="0"/>
    <x v="0"/>
  </r>
  <r>
    <s v="ORD-10440"/>
    <x v="321"/>
    <s v="Sarah Johnson"/>
    <x v="0"/>
    <s v="Foam Roller"/>
    <x v="4"/>
    <n v="2"/>
    <n v="3647.9864999999995"/>
    <n v="0"/>
    <n v="7295.972999999999"/>
    <n v="1145.9693"/>
    <x v="0"/>
    <n v="2024"/>
    <x v="9"/>
    <x v="15"/>
    <n v="0.15706874189364464"/>
    <x v="15"/>
    <x v="15"/>
  </r>
  <r>
    <s v="ORD-10441"/>
    <x v="125"/>
    <s v="Matthew Lopez"/>
    <x v="4"/>
    <s v="Gym Bag"/>
    <x v="4"/>
    <n v="2"/>
    <n v="1424.1814999999999"/>
    <n v="0"/>
    <n v="2848.3629999999998"/>
    <n v="508.16309999999999"/>
    <x v="2"/>
    <n v="2024"/>
    <x v="2"/>
    <x v="2"/>
    <n v="0.17840531561461795"/>
    <x v="2"/>
    <x v="2"/>
  </r>
  <r>
    <s v="ORD-10442"/>
    <x v="322"/>
    <s v="Robert Brown"/>
    <x v="1"/>
    <s v="Scented Candle Set"/>
    <x v="2"/>
    <n v="3"/>
    <n v="2106.4638"/>
    <n v="5"/>
    <n v="6003.3271999999997"/>
    <n v="1857.5868999999998"/>
    <x v="1"/>
    <n v="2024"/>
    <x v="7"/>
    <x v="10"/>
    <n v="0.3094262295081967"/>
    <x v="10"/>
    <x v="10"/>
  </r>
  <r>
    <s v="ORD-10443"/>
    <x v="150"/>
    <s v="Mary Brown"/>
    <x v="0"/>
    <s v="Sunscreen SPF50"/>
    <x v="1"/>
    <n v="4"/>
    <n v="3216.4737"/>
    <n v="5"/>
    <n v="12222.4108"/>
    <n v="7856.1825999999992"/>
    <x v="2"/>
    <n v="2025"/>
    <x v="2"/>
    <x v="9"/>
    <n v="0.64276865902756264"/>
    <x v="9"/>
    <x v="9"/>
  </r>
  <r>
    <s v="ORD-10444"/>
    <x v="323"/>
    <s v="Thomas Brown"/>
    <x v="4"/>
    <s v="Face Mask Pack"/>
    <x v="1"/>
    <n v="3"/>
    <n v="2892.8390999999997"/>
    <n v="20"/>
    <n v="6943.0030999999999"/>
    <n v="4315.1279999999997"/>
    <x v="1"/>
    <n v="2024"/>
    <x v="5"/>
    <x v="18"/>
    <n v="0.62150742810412973"/>
    <x v="18"/>
    <x v="18"/>
  </r>
  <r>
    <s v="ORD-10445"/>
    <x v="204"/>
    <s v="Carol Martinez"/>
    <x v="1"/>
    <s v="Laptop Stand"/>
    <x v="0"/>
    <n v="3"/>
    <n v="5324.8301000000001"/>
    <n v="0"/>
    <n v="15974.490299999999"/>
    <n v="2599.4860999999996"/>
    <x v="2"/>
    <n v="2024"/>
    <x v="11"/>
    <x v="23"/>
    <n v="0.16272732658017888"/>
    <x v="23"/>
    <x v="23"/>
  </r>
  <r>
    <s v="ORD-10446"/>
    <x v="324"/>
    <s v="Kenneth Perez"/>
    <x v="0"/>
    <s v="Storage Bins"/>
    <x v="2"/>
    <n v="1"/>
    <n v="2703.5790999999999"/>
    <n v="15"/>
    <n v="2297.6163999999999"/>
    <n v="806.24759999999992"/>
    <x v="2"/>
    <n v="2024"/>
    <x v="2"/>
    <x v="2"/>
    <n v="0.35090609555189456"/>
    <x v="2"/>
    <x v="2"/>
  </r>
  <r>
    <s v="ORD-10447"/>
    <x v="48"/>
    <s v="William Johnson"/>
    <x v="2"/>
    <s v="Coffee Maker"/>
    <x v="2"/>
    <n v="3"/>
    <n v="1259.5253"/>
    <n v="20"/>
    <n v="3022.4821999999999"/>
    <n v="1202.7473"/>
    <x v="2"/>
    <n v="2024"/>
    <x v="0"/>
    <x v="0"/>
    <n v="0.39793362554790235"/>
    <x v="0"/>
    <x v="0"/>
  </r>
  <r>
    <s v="ORD-10448"/>
    <x v="325"/>
    <s v="Michael Williams"/>
    <x v="1"/>
    <s v="Eye Cream"/>
    <x v="1"/>
    <n v="1"/>
    <n v="3470.0821000000001"/>
    <n v="5"/>
    <n v="3296.9092000000001"/>
    <n v="2093.2156"/>
    <x v="1"/>
    <n v="2025"/>
    <x v="2"/>
    <x v="9"/>
    <n v="0.63490241102181399"/>
    <x v="9"/>
    <x v="9"/>
  </r>
  <r>
    <s v="ORD-10449"/>
    <x v="132"/>
    <s v="Sarah Garcia"/>
    <x v="1"/>
    <s v="Cycling Gloves"/>
    <x v="4"/>
    <n v="1"/>
    <n v="1871.7814000000001"/>
    <n v="0"/>
    <n v="1871.7814000000001"/>
    <n v="309.44009999999997"/>
    <x v="1"/>
    <n v="2024"/>
    <x v="1"/>
    <x v="11"/>
    <n v="0.16531850353892819"/>
    <x v="11"/>
    <x v="11"/>
  </r>
  <r>
    <s v="ORD-10450"/>
    <x v="326"/>
    <s v="Linda Williams"/>
    <x v="0"/>
    <s v="Nail Polish Set"/>
    <x v="1"/>
    <n v="1"/>
    <n v="1740.2456999999999"/>
    <n v="10"/>
    <n v="1566.1265000000001"/>
    <n v="750.41589999999997"/>
    <x v="1"/>
    <n v="2024"/>
    <x v="7"/>
    <x v="10"/>
    <n v="0.47915407854984887"/>
    <x v="10"/>
    <x v="10"/>
  </r>
  <r>
    <s v="ORD-10451"/>
    <x v="287"/>
    <s v="Jessica Williams"/>
    <x v="1"/>
    <s v="Dumbbells 10lb"/>
    <x v="4"/>
    <n v="2"/>
    <n v="4288.6315999999997"/>
    <n v="5"/>
    <n v="8148.5892999999996"/>
    <n v="2195.4159999999997"/>
    <x v="0"/>
    <n v="2025"/>
    <x v="2"/>
    <x v="9"/>
    <n v="0.26942283126233885"/>
    <x v="9"/>
    <x v="9"/>
  </r>
  <r>
    <s v="ORD-10452"/>
    <x v="327"/>
    <s v="Kenneth Sanchez"/>
    <x v="4"/>
    <s v="Wireless Headphones"/>
    <x v="0"/>
    <n v="1"/>
    <n v="3101.0251000000003"/>
    <n v="0"/>
    <n v="3101.0251000000003"/>
    <n v="546.01509999999996"/>
    <x v="2"/>
    <n v="2025"/>
    <x v="10"/>
    <x v="21"/>
    <n v="0.17607567897467194"/>
    <x v="21"/>
    <x v="21"/>
  </r>
  <r>
    <s v="ORD-10453"/>
    <x v="295"/>
    <s v="Lisa Lewis"/>
    <x v="2"/>
    <s v="Casual Sneakers"/>
    <x v="3"/>
    <n v="1"/>
    <n v="7993.3960999999999"/>
    <n v="5"/>
    <n v="7594.0574999999999"/>
    <n v="2377.1055999999999"/>
    <x v="1"/>
    <n v="2025"/>
    <x v="9"/>
    <x v="22"/>
    <n v="0.31302180685358255"/>
    <x v="22"/>
    <x v="22"/>
  </r>
  <r>
    <s v="ORD-10454"/>
    <x v="219"/>
    <s v="Carol Garcia"/>
    <x v="3"/>
    <s v="Cycling Gloves"/>
    <x v="4"/>
    <n v="3"/>
    <n v="1915.3111999999999"/>
    <n v="10"/>
    <n v="5171.5294999999996"/>
    <n v="1522.5966999999998"/>
    <x v="1"/>
    <n v="2024"/>
    <x v="4"/>
    <x v="4"/>
    <n v="0.29441903019213173"/>
    <x v="4"/>
    <x v="4"/>
  </r>
  <r>
    <s v="ORD-10455"/>
    <x v="327"/>
    <s v="Richard White"/>
    <x v="4"/>
    <s v="Hair Oil"/>
    <x v="1"/>
    <n v="3"/>
    <n v="2242.7309999999998"/>
    <n v="0"/>
    <n v="6728.1929999999993"/>
    <n v="3524.0212000000001"/>
    <x v="0"/>
    <n v="2025"/>
    <x v="10"/>
    <x v="21"/>
    <n v="0.5237693389592124"/>
    <x v="21"/>
    <x v="21"/>
  </r>
  <r>
    <s v="ORD-10456"/>
    <x v="328"/>
    <s v="James Taylor"/>
    <x v="1"/>
    <s v="Portable Charger"/>
    <x v="0"/>
    <n v="1"/>
    <n v="3514.5581999999999"/>
    <n v="5"/>
    <n v="3338.5463999999997"/>
    <n v="721.0806"/>
    <x v="2"/>
    <n v="2025"/>
    <x v="10"/>
    <x v="21"/>
    <n v="0.21598639455782315"/>
    <x v="21"/>
    <x v="21"/>
  </r>
  <r>
    <s v="ORD-10457"/>
    <x v="329"/>
    <s v="William Lewis"/>
    <x v="3"/>
    <s v="Eye Cream"/>
    <x v="1"/>
    <n v="1"/>
    <n v="3233.5070999999998"/>
    <n v="0"/>
    <n v="3233.5070999999998"/>
    <n v="1580.3209999999999"/>
    <x v="0"/>
    <n v="2025"/>
    <x v="11"/>
    <x v="19"/>
    <n v="0.48873280655545803"/>
    <x v="19"/>
    <x v="19"/>
  </r>
  <r>
    <s v="ORD-10458"/>
    <x v="330"/>
    <s v="David Garcia"/>
    <x v="3"/>
    <s v="Nail Polish Set"/>
    <x v="1"/>
    <n v="2"/>
    <n v="3659.3420999999998"/>
    <n v="0"/>
    <n v="7318.6841999999997"/>
    <n v="4647.2793000000001"/>
    <x v="0"/>
    <n v="2025"/>
    <x v="8"/>
    <x v="14"/>
    <n v="0.63498836307214901"/>
    <x v="14"/>
    <x v="14"/>
  </r>
  <r>
    <s v="ORD-10459"/>
    <x v="331"/>
    <s v="Betty Ramirez"/>
    <x v="4"/>
    <s v="Swim Goggles"/>
    <x v="4"/>
    <n v="2"/>
    <n v="2872.0205000000001"/>
    <n v="20"/>
    <n v="4595.2327999999998"/>
    <n v="1163.0026999999998"/>
    <x v="0"/>
    <n v="2024"/>
    <x v="8"/>
    <x v="12"/>
    <n v="0.25308896210873144"/>
    <x v="12"/>
    <x v="12"/>
  </r>
  <r>
    <s v="ORD-10460"/>
    <x v="220"/>
    <s v="Paul Garcia"/>
    <x v="1"/>
    <s v="Athletic Socks"/>
    <x v="3"/>
    <n v="2"/>
    <n v="4924.5451999999996"/>
    <n v="0"/>
    <n v="9849.0903999999991"/>
    <n v="3090.6157999999996"/>
    <x v="0"/>
    <n v="2024"/>
    <x v="7"/>
    <x v="10"/>
    <n v="0.31379707916986932"/>
    <x v="10"/>
    <x v="10"/>
  </r>
  <r>
    <s v="ORD-10461"/>
    <x v="332"/>
    <s v="Sandra Williams"/>
    <x v="2"/>
    <s v="Mouse Wireless"/>
    <x v="0"/>
    <n v="3"/>
    <n v="2781.1756999999998"/>
    <n v="5"/>
    <n v="7926.2088000000003"/>
    <n v="898.03869999999995"/>
    <x v="0"/>
    <n v="2025"/>
    <x v="1"/>
    <x v="1"/>
    <n v="0.11329990448901622"/>
    <x v="1"/>
    <x v="1"/>
  </r>
  <r>
    <s v="ORD-10462"/>
    <x v="275"/>
    <s v="Donna White"/>
    <x v="1"/>
    <s v="Shampoo Organic"/>
    <x v="1"/>
    <n v="2"/>
    <n v="4136.2772999999997"/>
    <n v="5"/>
    <n v="7859.0214999999989"/>
    <n v="4304.7187000000004"/>
    <x v="0"/>
    <n v="2024"/>
    <x v="3"/>
    <x v="3"/>
    <n v="0.54774232390126443"/>
    <x v="3"/>
    <x v="3"/>
  </r>
  <r>
    <s v="ORD-10463"/>
    <x v="333"/>
    <s v="David Martinez"/>
    <x v="2"/>
    <s v="Gym Bag"/>
    <x v="4"/>
    <n v="3"/>
    <n v="4990.7861999999996"/>
    <n v="5"/>
    <n v="14223.835299999999"/>
    <n v="3175.7828"/>
    <x v="0"/>
    <n v="2024"/>
    <x v="6"/>
    <x v="6"/>
    <n v="0.22327190473022421"/>
    <x v="6"/>
    <x v="6"/>
  </r>
  <r>
    <s v="ORD-10464"/>
    <x v="334"/>
    <s v="Joshua Lee"/>
    <x v="4"/>
    <s v="Nail Polish Set"/>
    <x v="1"/>
    <n v="2"/>
    <n v="3240.1311999999998"/>
    <n v="10"/>
    <n v="5832.0469000000003"/>
    <n v="3125.6289000000002"/>
    <x v="1"/>
    <n v="2025"/>
    <x v="8"/>
    <x v="14"/>
    <n v="0.5359402888203797"/>
    <x v="14"/>
    <x v="14"/>
  </r>
  <r>
    <s v="ORD-10465"/>
    <x v="335"/>
    <s v="Karen Smith"/>
    <x v="1"/>
    <s v="Keyboard Mechanical"/>
    <x v="0"/>
    <n v="1"/>
    <n v="10550.298699999999"/>
    <n v="15"/>
    <n v="8968.0850999999984"/>
    <n v="2086.5915"/>
    <x v="1"/>
    <n v="2024"/>
    <x v="0"/>
    <x v="0"/>
    <n v="0.23266856600189936"/>
    <x v="0"/>
    <x v="0"/>
  </r>
  <r>
    <s v="ORD-10466"/>
    <x v="336"/>
    <s v="Barbara Miller"/>
    <x v="1"/>
    <s v="Door Mat"/>
    <x v="2"/>
    <n v="3"/>
    <n v="5923.8379999999997"/>
    <n v="15"/>
    <n v="15105.786899999999"/>
    <n v="3365.9890999999998"/>
    <x v="0"/>
    <n v="2025"/>
    <x v="7"/>
    <x v="8"/>
    <n v="0.22282778926266991"/>
    <x v="8"/>
    <x v="8"/>
  </r>
  <r>
    <s v="ORD-10467"/>
    <x v="32"/>
    <s v="Dorothy Johnson"/>
    <x v="3"/>
    <s v="Wool Sweater"/>
    <x v="3"/>
    <n v="1"/>
    <n v="2679.9215999999997"/>
    <n v="5"/>
    <n v="2545.5469999999996"/>
    <n v="1299.2699"/>
    <x v="2"/>
    <n v="2024"/>
    <x v="5"/>
    <x v="18"/>
    <n v="0.51040892193308562"/>
    <x v="18"/>
    <x v="18"/>
  </r>
  <r>
    <s v="ORD-10468"/>
    <x v="337"/>
    <s v="Linda Garcia"/>
    <x v="4"/>
    <s v="Wool Sweater"/>
    <x v="3"/>
    <n v="1"/>
    <n v="2588.1305000000002"/>
    <n v="5"/>
    <n v="2458.4874"/>
    <n v="965.22599999999989"/>
    <x v="0"/>
    <n v="2024"/>
    <x v="4"/>
    <x v="4"/>
    <n v="0.39260969976905308"/>
    <x v="4"/>
    <x v="4"/>
  </r>
  <r>
    <s v="ORD-10469"/>
    <x v="228"/>
    <s v="Thomas Gonzalez"/>
    <x v="4"/>
    <s v="Body Lotion"/>
    <x v="1"/>
    <n v="1"/>
    <n v="4120.1902"/>
    <n v="0"/>
    <n v="4120.1902"/>
    <n v="1847.1776"/>
    <x v="0"/>
    <n v="2025"/>
    <x v="10"/>
    <x v="21"/>
    <n v="0.44832338079926504"/>
    <x v="21"/>
    <x v="21"/>
  </r>
  <r>
    <s v="ORD-10470"/>
    <x v="338"/>
    <s v="Matthew Robinson"/>
    <x v="1"/>
    <s v="Cotton T-Shirt"/>
    <x v="3"/>
    <n v="2"/>
    <n v="6140.5406999999996"/>
    <n v="10"/>
    <n v="11052.784"/>
    <n v="3729.3682999999996"/>
    <x v="1"/>
    <n v="2024"/>
    <x v="4"/>
    <x v="4"/>
    <n v="0.33741438356164383"/>
    <x v="4"/>
    <x v="4"/>
  </r>
  <r>
    <s v="ORD-10471"/>
    <x v="9"/>
    <s v="Carol Robinson"/>
    <x v="4"/>
    <s v="USB-C Hub"/>
    <x v="0"/>
    <n v="2"/>
    <n v="7337.6102000000001"/>
    <n v="10"/>
    <n v="13207.509099999999"/>
    <n v="2571.0971"/>
    <x v="1"/>
    <n v="2024"/>
    <x v="2"/>
    <x v="2"/>
    <n v="0.1946693415490435"/>
    <x v="2"/>
    <x v="2"/>
  </r>
  <r>
    <s v="ORD-10472"/>
    <x v="286"/>
    <s v="Daniel Clark"/>
    <x v="1"/>
    <s v="Casual Sneakers"/>
    <x v="3"/>
    <n v="2"/>
    <n v="3594.0473999999995"/>
    <n v="10"/>
    <n v="6468.9067999999997"/>
    <n v="2591.9157"/>
    <x v="1"/>
    <n v="2024"/>
    <x v="9"/>
    <x v="15"/>
    <n v="0.40067290813341139"/>
    <x v="15"/>
    <x v="15"/>
  </r>
  <r>
    <s v="ORD-10473"/>
    <x v="264"/>
    <s v="Betty Davis"/>
    <x v="3"/>
    <s v="Cutting Board"/>
    <x v="2"/>
    <n v="1"/>
    <n v="5267.1057999999994"/>
    <n v="10"/>
    <n v="4740.0167000000001"/>
    <n v="1802.7014999999999"/>
    <x v="1"/>
    <n v="2024"/>
    <x v="5"/>
    <x v="18"/>
    <n v="0.38031543222200037"/>
    <x v="18"/>
    <x v="18"/>
  </r>
  <r>
    <s v="ORD-10474"/>
    <x v="339"/>
    <s v="Richard Ramirez"/>
    <x v="1"/>
    <s v="Pillow Set"/>
    <x v="2"/>
    <n v="1"/>
    <n v="1057.9633999999999"/>
    <n v="5"/>
    <n v="1004.9705999999999"/>
    <n v="264.964"/>
    <x v="0"/>
    <n v="2024"/>
    <x v="11"/>
    <x v="23"/>
    <n v="0.26365348399246707"/>
    <x v="23"/>
    <x v="23"/>
  </r>
  <r>
    <s v="ORD-10475"/>
    <x v="340"/>
    <s v="Jennifer Johnson"/>
    <x v="4"/>
    <s v="Foam Roller"/>
    <x v="4"/>
    <n v="1"/>
    <n v="1889.7610999999997"/>
    <n v="0"/>
    <n v="1889.7610999999997"/>
    <n v="334.99019999999996"/>
    <x v="0"/>
    <n v="2024"/>
    <x v="11"/>
    <x v="23"/>
    <n v="0.1772658988482724"/>
    <x v="23"/>
    <x v="23"/>
  </r>
  <r>
    <s v="ORD-10476"/>
    <x v="341"/>
    <s v="Thomas Jones"/>
    <x v="2"/>
    <s v="Running Shoes"/>
    <x v="3"/>
    <n v="3"/>
    <n v="5736.4705999999996"/>
    <n v="0"/>
    <n v="17209.411800000002"/>
    <n v="7998.1275999999989"/>
    <x v="1"/>
    <n v="2024"/>
    <x v="0"/>
    <x v="0"/>
    <n v="0.46475310678543924"/>
    <x v="0"/>
    <x v="0"/>
  </r>
  <r>
    <s v="ORD-10477"/>
    <x v="284"/>
    <s v="Matthew Sanchez"/>
    <x v="1"/>
    <s v="Scented Candle Set"/>
    <x v="2"/>
    <n v="1"/>
    <n v="3406.68"/>
    <n v="10"/>
    <n v="3066.0119999999997"/>
    <n v="916.01839999999993"/>
    <x v="0"/>
    <n v="2025"/>
    <x v="8"/>
    <x v="14"/>
    <n v="0.29876543209876544"/>
    <x v="14"/>
    <x v="14"/>
  </r>
  <r>
    <s v="ORD-10478"/>
    <x v="342"/>
    <s v="Michael Miller"/>
    <x v="3"/>
    <s v="Gym Bag"/>
    <x v="4"/>
    <n v="1"/>
    <n v="2315.5960999999998"/>
    <n v="20"/>
    <n v="1852.8553999999997"/>
    <n v="437.19059999999996"/>
    <x v="0"/>
    <n v="2024"/>
    <x v="4"/>
    <x v="4"/>
    <n v="0.2359550561797753"/>
    <x v="4"/>
    <x v="4"/>
  </r>
  <r>
    <s v="ORD-10479"/>
    <x v="343"/>
    <s v="Robert Anderson"/>
    <x v="1"/>
    <s v="Denim Jacket"/>
    <x v="3"/>
    <n v="1"/>
    <n v="7299.7581999999993"/>
    <n v="0"/>
    <n v="7299.7581999999993"/>
    <n v="2452.8096"/>
    <x v="0"/>
    <n v="2024"/>
    <x v="5"/>
    <x v="18"/>
    <n v="0.33601244490536691"/>
    <x v="18"/>
    <x v="18"/>
  </r>
  <r>
    <s v="ORD-10480"/>
    <x v="211"/>
    <s v="Mary Brown"/>
    <x v="2"/>
    <s v="Pillow Set"/>
    <x v="2"/>
    <n v="2"/>
    <n v="2015.6189999999999"/>
    <n v="0"/>
    <n v="4031.2379999999998"/>
    <n v="987.93719999999996"/>
    <x v="0"/>
    <n v="2025"/>
    <x v="1"/>
    <x v="1"/>
    <n v="0.24507042253521127"/>
    <x v="1"/>
    <x v="1"/>
  </r>
  <r>
    <s v="ORD-10481"/>
    <x v="344"/>
    <s v="Christopher Ramirez"/>
    <x v="4"/>
    <s v="Bluetooth Speaker"/>
    <x v="0"/>
    <n v="2"/>
    <n v="12845.0762"/>
    <n v="20"/>
    <n v="20551.743399999999"/>
    <n v="5023.9067000000005"/>
    <x v="0"/>
    <n v="2024"/>
    <x v="0"/>
    <x v="0"/>
    <n v="0.24445160696196705"/>
    <x v="0"/>
    <x v="0"/>
  </r>
  <r>
    <s v="ORD-10482"/>
    <x v="345"/>
    <s v="Kimberly Johnson"/>
    <x v="1"/>
    <s v="Denim Jacket"/>
    <x v="3"/>
    <n v="4"/>
    <n v="8101.2742999999991"/>
    <n v="15"/>
    <n v="27543.954099999999"/>
    <n v="15125.6592"/>
    <x v="0"/>
    <n v="2025"/>
    <x v="11"/>
    <x v="19"/>
    <n v="0.54914625347854473"/>
    <x v="19"/>
    <x v="19"/>
  </r>
  <r>
    <s v="ORD-10483"/>
    <x v="346"/>
    <s v="Sarah Thompson"/>
    <x v="2"/>
    <s v="Sunscreen SPF50"/>
    <x v="1"/>
    <n v="5"/>
    <n v="1997.6392999999998"/>
    <n v="10"/>
    <n v="8989.85"/>
    <n v="5599.2570999999998"/>
    <x v="1"/>
    <n v="2025"/>
    <x v="4"/>
    <x v="16"/>
    <n v="0.62284210526315786"/>
    <x v="16"/>
    <x v="16"/>
  </r>
  <r>
    <s v="ORD-10484"/>
    <x v="347"/>
    <s v="Thomas Johnson"/>
    <x v="1"/>
    <s v="Knife Set"/>
    <x v="2"/>
    <n v="3"/>
    <n v="5998.5956999999999"/>
    <n v="5"/>
    <n v="17095.855799999998"/>
    <n v="6281.5393999999997"/>
    <x v="0"/>
    <n v="2025"/>
    <x v="11"/>
    <x v="19"/>
    <n v="0.36743053249197388"/>
    <x v="19"/>
    <x v="19"/>
  </r>
  <r>
    <s v="ORD-10485"/>
    <x v="348"/>
    <s v="Donald Martinez"/>
    <x v="3"/>
    <s v="Swim Goggles"/>
    <x v="4"/>
    <n v="2"/>
    <n v="3535.3768"/>
    <n v="10"/>
    <n v="6363.8674999999994"/>
    <n v="1749.7086999999997"/>
    <x v="2"/>
    <n v="2024"/>
    <x v="5"/>
    <x v="18"/>
    <n v="0.27494423791821559"/>
    <x v="18"/>
    <x v="18"/>
  </r>
  <r>
    <s v="ORD-10486"/>
    <x v="349"/>
    <s v="Nancy Williams"/>
    <x v="1"/>
    <s v="Water Bottle"/>
    <x v="4"/>
    <n v="2"/>
    <n v="3416.143"/>
    <n v="5"/>
    <n v="6490.6716999999999"/>
    <n v="1655.0786999999998"/>
    <x v="1"/>
    <n v="2025"/>
    <x v="7"/>
    <x v="8"/>
    <n v="0.25499343927686247"/>
    <x v="8"/>
    <x v="8"/>
  </r>
  <r>
    <s v="ORD-10487"/>
    <x v="350"/>
    <s v="Andrew Hernandez"/>
    <x v="1"/>
    <s v="Desk Lamp"/>
    <x v="2"/>
    <n v="1"/>
    <n v="5947.4955"/>
    <n v="0"/>
    <n v="5947.4955"/>
    <n v="2202.0400999999997"/>
    <x v="0"/>
    <n v="2025"/>
    <x v="10"/>
    <x v="21"/>
    <n v="0.37024661893396971"/>
    <x v="21"/>
    <x v="21"/>
  </r>
  <r>
    <s v="ORD-10488"/>
    <x v="38"/>
    <s v="James Anderson"/>
    <x v="0"/>
    <s v="Sunscreen SPF50"/>
    <x v="1"/>
    <n v="1"/>
    <n v="2867.2889999999998"/>
    <n v="15"/>
    <n v="2437.6687999999999"/>
    <n v="1356.0479"/>
    <x v="1"/>
    <n v="2024"/>
    <x v="10"/>
    <x v="17"/>
    <n v="0.55628881987577639"/>
    <x v="17"/>
    <x v="17"/>
  </r>
  <r>
    <s v="ORD-10489"/>
    <x v="351"/>
    <s v="Kimberly Lewis"/>
    <x v="1"/>
    <s v="Swim Goggles"/>
    <x v="4"/>
    <n v="2"/>
    <n v="5556.6736000000001"/>
    <n v="0"/>
    <n v="11113.3472"/>
    <n v="2367.6425999999997"/>
    <x v="1"/>
    <n v="2025"/>
    <x v="4"/>
    <x v="16"/>
    <n v="0.21304495912806537"/>
    <x v="16"/>
    <x v="16"/>
  </r>
  <r>
    <s v="ORD-10490"/>
    <x v="96"/>
    <s v="Joseph Taylor"/>
    <x v="1"/>
    <s v="Perfume Travel"/>
    <x v="1"/>
    <n v="2"/>
    <n v="2995.9857999999999"/>
    <n v="15"/>
    <n v="5092.9866000000002"/>
    <n v="2983.6839"/>
    <x v="0"/>
    <n v="2025"/>
    <x v="0"/>
    <x v="13"/>
    <n v="0.58584169453734669"/>
    <x v="13"/>
    <x v="13"/>
  </r>
  <r>
    <s v="ORD-10491"/>
    <x v="199"/>
    <s v="Karen Perez"/>
    <x v="4"/>
    <s v="Cargo Shorts"/>
    <x v="3"/>
    <n v="2"/>
    <n v="4370.0133999999998"/>
    <n v="0"/>
    <n v="8740.0267999999996"/>
    <n v="4306.6112999999996"/>
    <x v="1"/>
    <n v="2025"/>
    <x v="3"/>
    <x v="7"/>
    <n v="0.49274577739281072"/>
    <x v="7"/>
    <x v="7"/>
  </r>
  <r>
    <s v="ORD-10492"/>
    <x v="304"/>
    <s v="James Anderson"/>
    <x v="1"/>
    <s v="Gym Bag"/>
    <x v="4"/>
    <n v="4"/>
    <n v="4902.7803000000004"/>
    <n v="5"/>
    <n v="18630.754399999998"/>
    <n v="4584.8235000000004"/>
    <x v="1"/>
    <n v="2024"/>
    <x v="3"/>
    <x v="3"/>
    <n v="0.24608898821617234"/>
    <x v="3"/>
    <x v="3"/>
  </r>
  <r>
    <s v="ORD-10493"/>
    <x v="64"/>
    <s v="Richard Brown"/>
    <x v="1"/>
    <s v="Yoga Mat"/>
    <x v="4"/>
    <n v="1"/>
    <n v="1113.7950999999998"/>
    <n v="0"/>
    <n v="1113.7950999999998"/>
    <n v="234.6824"/>
    <x v="1"/>
    <n v="2024"/>
    <x v="2"/>
    <x v="2"/>
    <n v="0.21070518266779953"/>
    <x v="2"/>
    <x v="2"/>
  </r>
  <r>
    <s v="ORD-10494"/>
    <x v="352"/>
    <s v="Jessica Johnson"/>
    <x v="4"/>
    <s v="Storage Bins"/>
    <x v="2"/>
    <n v="1"/>
    <n v="4683.2386999999999"/>
    <n v="0"/>
    <n v="4683.2386999999999"/>
    <n v="1322.9274"/>
    <x v="1"/>
    <n v="2025"/>
    <x v="7"/>
    <x v="8"/>
    <n v="0.28248130935542537"/>
    <x v="8"/>
    <x v="8"/>
  </r>
  <r>
    <s v="ORD-10495"/>
    <x v="273"/>
    <s v="Kevin White"/>
    <x v="1"/>
    <s v="Casual Sneakers"/>
    <x v="3"/>
    <n v="2"/>
    <n v="5006.8732999999993"/>
    <n v="10"/>
    <n v="9012.5611999999983"/>
    <n v="3944.1783999999998"/>
    <x v="0"/>
    <n v="2024"/>
    <x v="2"/>
    <x v="2"/>
    <n v="0.43763124737505255"/>
    <x v="2"/>
    <x v="2"/>
  </r>
  <r>
    <s v="ORD-10496"/>
    <x v="353"/>
    <s v="David Moore"/>
    <x v="0"/>
    <s v="Resistance Bands"/>
    <x v="4"/>
    <n v="3"/>
    <n v="3693.4088999999999"/>
    <n v="25"/>
    <n v="8310.4065999999984"/>
    <n v="2484.9838"/>
    <x v="1"/>
    <n v="2025"/>
    <x v="6"/>
    <x v="20"/>
    <n v="0.29902072420860859"/>
    <x v="20"/>
    <x v="20"/>
  </r>
  <r>
    <s v="ORD-10497"/>
    <x v="329"/>
    <s v="James Miller"/>
    <x v="1"/>
    <s v="Nail Polish Set"/>
    <x v="1"/>
    <n v="2"/>
    <n v="851.67"/>
    <n v="0"/>
    <n v="1703.34"/>
    <n v="1004.0242999999999"/>
    <x v="0"/>
    <n v="2025"/>
    <x v="11"/>
    <x v="19"/>
    <n v="0.58944444444444444"/>
    <x v="19"/>
    <x v="19"/>
  </r>
  <r>
    <s v="ORD-10498"/>
    <x v="349"/>
    <s v="Steven Ramirez"/>
    <x v="2"/>
    <s v="Cotton T-Shirt"/>
    <x v="3"/>
    <n v="1"/>
    <n v="4085.1770999999999"/>
    <n v="0"/>
    <n v="4085.1770999999999"/>
    <n v="2122.5508999999997"/>
    <x v="0"/>
    <n v="2025"/>
    <x v="7"/>
    <x v="8"/>
    <n v="0.51957377808663419"/>
    <x v="8"/>
    <x v="8"/>
  </r>
  <r>
    <s v="ORD-10499"/>
    <x v="354"/>
    <s v="Barbara Hernandez"/>
    <x v="3"/>
    <s v="Eye Cream"/>
    <x v="1"/>
    <n v="2"/>
    <n v="1990.0689"/>
    <n v="5"/>
    <n v="3781.4148"/>
    <n v="2094.1618999999996"/>
    <x v="0"/>
    <n v="2024"/>
    <x v="9"/>
    <x v="15"/>
    <n v="0.55380380380380367"/>
    <x v="15"/>
    <x v="15"/>
  </r>
  <r>
    <s v="ORD-10500"/>
    <x v="120"/>
    <s v="Thomas Williams"/>
    <x v="0"/>
    <s v="Face Moisturizer"/>
    <x v="1"/>
    <n v="1"/>
    <n v="2508.6413000000002"/>
    <n v="15"/>
    <n v="2132.0138999999999"/>
    <n v="920.74990000000003"/>
    <x v="1"/>
    <n v="2024"/>
    <x v="7"/>
    <x v="10"/>
    <n v="0.43186861961828676"/>
    <x v="10"/>
    <x v="10"/>
  </r>
  <r>
    <s v="ORD-10501"/>
    <x v="30"/>
    <s v="Michelle Sanchez"/>
    <x v="3"/>
    <s v="Gym Bag"/>
    <x v="4"/>
    <n v="3"/>
    <n v="1823.5201"/>
    <n v="0"/>
    <n v="5470.5603000000001"/>
    <n v="1138.3988999999999"/>
    <x v="0"/>
    <n v="2024"/>
    <x v="8"/>
    <x v="12"/>
    <n v="0.20809548521017124"/>
    <x v="12"/>
    <x v="12"/>
  </r>
  <r>
    <s v="ORD-10502"/>
    <x v="103"/>
    <s v="Dorothy Sanchez"/>
    <x v="4"/>
    <s v="Bluetooth Speaker"/>
    <x v="0"/>
    <n v="3"/>
    <n v="5783.7855999999992"/>
    <n v="0"/>
    <n v="17351.356800000001"/>
    <n v="2855.9333999999999"/>
    <x v="0"/>
    <n v="2024"/>
    <x v="10"/>
    <x v="17"/>
    <n v="0.1645942408376963"/>
    <x v="17"/>
    <x v="17"/>
  </r>
  <r>
    <s v="ORD-10503"/>
    <x v="2"/>
    <s v="Jessica Harris"/>
    <x v="2"/>
    <s v="Athletic Socks"/>
    <x v="3"/>
    <n v="1"/>
    <n v="3562.8194999999996"/>
    <n v="10"/>
    <n v="3207.0106999999998"/>
    <n v="1277.5049999999999"/>
    <x v="1"/>
    <n v="2024"/>
    <x v="2"/>
    <x v="2"/>
    <n v="0.39834759516081436"/>
    <x v="2"/>
    <x v="2"/>
  </r>
  <r>
    <s v="ORD-10504"/>
    <x v="355"/>
    <s v="Daniel Brown"/>
    <x v="4"/>
    <s v="USB-C Hub"/>
    <x v="0"/>
    <n v="5"/>
    <n v="5750.6651000000002"/>
    <n v="10"/>
    <n v="25878.466100000001"/>
    <n v="2889.0538999999999"/>
    <x v="0"/>
    <n v="2025"/>
    <x v="5"/>
    <x v="5"/>
    <n v="0.11163930230006947"/>
    <x v="5"/>
    <x v="5"/>
  </r>
  <r>
    <s v="ORD-10505"/>
    <x v="356"/>
    <s v="Jennifer Martin"/>
    <x v="0"/>
    <s v="Laptop Stand"/>
    <x v="0"/>
    <n v="1"/>
    <n v="13405.2858"/>
    <n v="5"/>
    <n v="12735.305400000001"/>
    <n v="2433.8835999999997"/>
    <x v="0"/>
    <n v="2024"/>
    <x v="5"/>
    <x v="18"/>
    <n v="0.19111309258433642"/>
    <x v="18"/>
    <x v="18"/>
  </r>
  <r>
    <s v="ORD-10506"/>
    <x v="227"/>
    <s v="Kevin Brown"/>
    <x v="2"/>
    <s v="Water Bottle"/>
    <x v="4"/>
    <n v="2"/>
    <n v="4951.9878999999992"/>
    <n v="15"/>
    <n v="8418.2847999999994"/>
    <n v="2699.7939000000001"/>
    <x v="0"/>
    <n v="2025"/>
    <x v="2"/>
    <x v="9"/>
    <n v="0.32070593525179858"/>
    <x v="9"/>
    <x v="9"/>
  </r>
  <r>
    <s v="ORD-10507"/>
    <x v="55"/>
    <s v="Joshua Lewis"/>
    <x v="1"/>
    <s v="Scented Candle Set"/>
    <x v="2"/>
    <n v="4"/>
    <n v="7036.6867999999995"/>
    <n v="10"/>
    <n v="25332.450999999997"/>
    <n v="7497.5348999999997"/>
    <x v="0"/>
    <n v="2025"/>
    <x v="8"/>
    <x v="14"/>
    <n v="0.29596563317146063"/>
    <x v="14"/>
    <x v="14"/>
  </r>
  <r>
    <s v="ORD-10508"/>
    <x v="357"/>
    <s v="Daniel Robinson"/>
    <x v="0"/>
    <s v="Cutting Board"/>
    <x v="2"/>
    <n v="5"/>
    <n v="4555.4881999999998"/>
    <n v="10"/>
    <n v="20499.696899999999"/>
    <n v="4725.8221999999996"/>
    <x v="0"/>
    <n v="2024"/>
    <x v="2"/>
    <x v="2"/>
    <n v="0.23053132068503901"/>
    <x v="2"/>
    <x v="2"/>
  </r>
  <r>
    <s v="ORD-10509"/>
    <x v="114"/>
    <s v="Betty Lopez"/>
    <x v="4"/>
    <s v="Bluetooth Speaker"/>
    <x v="0"/>
    <n v="1"/>
    <n v="8136.2874000000002"/>
    <n v="10"/>
    <n v="7322.469399999999"/>
    <n v="840.31439999999998"/>
    <x v="1"/>
    <n v="2024"/>
    <x v="4"/>
    <x v="4"/>
    <n v="0.11475833548720601"/>
    <x v="4"/>
    <x v="4"/>
  </r>
  <r>
    <s v="ORD-10510"/>
    <x v="358"/>
    <s v="Barbara Sanchez"/>
    <x v="3"/>
    <s v="Body Lotion"/>
    <x v="1"/>
    <n v="1"/>
    <n v="1856.6405999999999"/>
    <n v="10"/>
    <n v="1671.1658"/>
    <n v="1063.6412"/>
    <x v="0"/>
    <n v="2025"/>
    <x v="8"/>
    <x v="14"/>
    <n v="0.63646659116647797"/>
    <x v="14"/>
    <x v="14"/>
  </r>
  <r>
    <s v="ORD-10511"/>
    <x v="359"/>
    <s v="Susan White"/>
    <x v="0"/>
    <s v="Face Mask Pack"/>
    <x v="1"/>
    <n v="1"/>
    <n v="3813.5889999999995"/>
    <n v="10"/>
    <n v="3432.2301000000002"/>
    <n v="2128.2286999999997"/>
    <x v="0"/>
    <n v="2024"/>
    <x v="10"/>
    <x v="17"/>
    <n v="0.62007168458781348"/>
    <x v="17"/>
    <x v="17"/>
  </r>
  <r>
    <s v="ORD-10512"/>
    <x v="360"/>
    <s v="Robert Lee"/>
    <x v="0"/>
    <s v="Denim Jacket"/>
    <x v="3"/>
    <n v="4"/>
    <n v="8109.7910000000002"/>
    <n v="5"/>
    <n v="30817.2058"/>
    <n v="13117.6106"/>
    <x v="0"/>
    <n v="2024"/>
    <x v="6"/>
    <x v="6"/>
    <n v="0.42565866240864708"/>
    <x v="6"/>
    <x v="6"/>
  </r>
  <r>
    <s v="ORD-10513"/>
    <x v="205"/>
    <s v="Barbara Hernandez"/>
    <x v="1"/>
    <s v="Body Lotion"/>
    <x v="1"/>
    <n v="1"/>
    <n v="1369.2961"/>
    <n v="5"/>
    <n v="1301.1624999999999"/>
    <n v="762.71780000000001"/>
    <x v="1"/>
    <n v="2025"/>
    <x v="7"/>
    <x v="8"/>
    <n v="0.58618181818181825"/>
    <x v="8"/>
    <x v="8"/>
  </r>
  <r>
    <s v="ORD-10514"/>
    <x v="361"/>
    <s v="Joshua Thompson"/>
    <x v="3"/>
    <s v="Running Shoes"/>
    <x v="3"/>
    <n v="2"/>
    <n v="7812.6527999999998"/>
    <n v="5"/>
    <n v="14843.6618"/>
    <n v="4776.9223999999995"/>
    <x v="0"/>
    <n v="2025"/>
    <x v="1"/>
    <x v="1"/>
    <n v="0.32181563177355599"/>
    <x v="1"/>
    <x v="1"/>
  </r>
  <r>
    <s v="ORD-10515"/>
    <x v="362"/>
    <s v="Joshua Jackson"/>
    <x v="0"/>
    <s v="Perfume Travel"/>
    <x v="1"/>
    <n v="1"/>
    <n v="4252.6722"/>
    <n v="0"/>
    <n v="4252.6722"/>
    <n v="1913.4185999999997"/>
    <x v="0"/>
    <n v="2025"/>
    <x v="2"/>
    <x v="9"/>
    <n v="0.44993324432576765"/>
    <x v="9"/>
    <x v="9"/>
  </r>
  <r>
    <s v="ORD-10516"/>
    <x v="304"/>
    <s v="Donna Lee"/>
    <x v="2"/>
    <s v="Cargo Shorts"/>
    <x v="3"/>
    <n v="2"/>
    <n v="5640.8942999999999"/>
    <n v="15"/>
    <n v="9589.8042000000005"/>
    <n v="4299.0409"/>
    <x v="1"/>
    <n v="2024"/>
    <x v="3"/>
    <x v="3"/>
    <n v="0.44829287546871915"/>
    <x v="3"/>
    <x v="3"/>
  </r>
  <r>
    <s v="ORD-10517"/>
    <x v="363"/>
    <s v="Carol Smith"/>
    <x v="2"/>
    <s v="Casual Sneakers"/>
    <x v="3"/>
    <n v="3"/>
    <n v="5914.375"/>
    <n v="10"/>
    <n v="15968.8125"/>
    <n v="7409.5289999999995"/>
    <x v="0"/>
    <n v="2024"/>
    <x v="1"/>
    <x v="11"/>
    <n v="0.46399999999999997"/>
    <x v="11"/>
    <x v="11"/>
  </r>
  <r>
    <s v="ORD-10518"/>
    <x v="364"/>
    <s v="Robert Brown"/>
    <x v="1"/>
    <s v="Cutting Board"/>
    <x v="2"/>
    <n v="2"/>
    <n v="5449.7417000000005"/>
    <n v="25"/>
    <n v="8175.0856999999996"/>
    <n v="2436.7224999999999"/>
    <x v="0"/>
    <n v="2025"/>
    <x v="9"/>
    <x v="22"/>
    <n v="0.29806690589188561"/>
    <x v="22"/>
    <x v="22"/>
  </r>
  <r>
    <s v="ORD-10519"/>
    <x v="179"/>
    <s v="Joseph Harris"/>
    <x v="1"/>
    <s v="Resistance Bands"/>
    <x v="4"/>
    <n v="1"/>
    <n v="3706.6570999999999"/>
    <n v="5"/>
    <n v="3521.1822999999999"/>
    <n v="1032.4132999999999"/>
    <x v="1"/>
    <n v="2024"/>
    <x v="11"/>
    <x v="23"/>
    <n v="0.29320075248589089"/>
    <x v="23"/>
    <x v="23"/>
  </r>
  <r>
    <s v="ORD-10520"/>
    <x v="212"/>
    <s v="William Hernandez"/>
    <x v="2"/>
    <s v="Resistance Bands"/>
    <x v="4"/>
    <n v="2"/>
    <n v="1554.7709"/>
    <n v="0"/>
    <n v="3109.5418"/>
    <n v="523.3039"/>
    <x v="2"/>
    <n v="2025"/>
    <x v="6"/>
    <x v="20"/>
    <n v="0.16828971393791844"/>
    <x v="20"/>
    <x v="20"/>
  </r>
  <r>
    <s v="ORD-10521"/>
    <x v="300"/>
    <s v="Robert Brown"/>
    <x v="3"/>
    <s v="Webcam HD"/>
    <x v="0"/>
    <n v="1"/>
    <n v="12472.234"/>
    <n v="25"/>
    <n v="9354.1754999999994"/>
    <n v="1710.9103999999998"/>
    <x v="0"/>
    <n v="2024"/>
    <x v="6"/>
    <x v="6"/>
    <n v="0.18290338897319169"/>
    <x v="6"/>
    <x v="6"/>
  </r>
  <r>
    <s v="ORD-10522"/>
    <x v="147"/>
    <s v="Sarah Miller"/>
    <x v="0"/>
    <s v="Denim Jacket"/>
    <x v="3"/>
    <n v="1"/>
    <n v="4191.1626999999999"/>
    <n v="5"/>
    <n v="3982.0303999999996"/>
    <n v="1384.4368999999999"/>
    <x v="1"/>
    <n v="2024"/>
    <x v="10"/>
    <x v="17"/>
    <n v="0.34767110266159695"/>
    <x v="17"/>
    <x v="17"/>
  </r>
  <r>
    <s v="ORD-10523"/>
    <x v="365"/>
    <s v="Paul Rodriguez"/>
    <x v="2"/>
    <s v="Desk Lamp"/>
    <x v="2"/>
    <n v="2"/>
    <n v="6080.9238000000005"/>
    <n v="0"/>
    <n v="12161.847600000001"/>
    <n v="4122.0828000000001"/>
    <x v="1"/>
    <n v="2024"/>
    <x v="3"/>
    <x v="3"/>
    <n v="0.33893557422969184"/>
    <x v="3"/>
    <x v="3"/>
  </r>
  <r>
    <s v="ORD-10524"/>
    <x v="66"/>
    <s v="David Perez"/>
    <x v="3"/>
    <s v="Eye Cream"/>
    <x v="1"/>
    <n v="3"/>
    <n v="2084.6988999999999"/>
    <n v="5"/>
    <n v="5941.8176999999996"/>
    <n v="3123.7362999999996"/>
    <x v="0"/>
    <n v="2024"/>
    <x v="8"/>
    <x v="12"/>
    <n v="0.52572065615543873"/>
    <x v="12"/>
    <x v="12"/>
  </r>
  <r>
    <s v="ORD-10525"/>
    <x v="201"/>
    <s v="Carol Robinson"/>
    <x v="4"/>
    <s v="Shampoo Organic"/>
    <x v="1"/>
    <n v="1"/>
    <n v="1329.5515"/>
    <n v="10"/>
    <n v="1197.0695000000001"/>
    <n v="670.92669999999998"/>
    <x v="0"/>
    <n v="2025"/>
    <x v="3"/>
    <x v="7"/>
    <n v="0.56047430830039524"/>
    <x v="7"/>
    <x v="7"/>
  </r>
  <r>
    <s v="ORD-10526"/>
    <x v="366"/>
    <s v="Dorothy Lopez"/>
    <x v="0"/>
    <s v="Cycling Gloves"/>
    <x v="4"/>
    <n v="1"/>
    <n v="1034.3058999999998"/>
    <n v="15"/>
    <n v="879.1126999999999"/>
    <n v="173.1729"/>
    <x v="0"/>
    <n v="2024"/>
    <x v="10"/>
    <x v="17"/>
    <n v="0.1969860064585576"/>
    <x v="17"/>
    <x v="17"/>
  </r>
  <r>
    <s v="ORD-10527"/>
    <x v="367"/>
    <s v="Paul Rodriguez"/>
    <x v="2"/>
    <s v="Casual Sneakers"/>
    <x v="3"/>
    <n v="4"/>
    <n v="1930.4519999999998"/>
    <n v="20"/>
    <n v="6177.4463999999998"/>
    <n v="3328.1370999999999"/>
    <x v="0"/>
    <n v="2025"/>
    <x v="7"/>
    <x v="8"/>
    <n v="0.53875612745098045"/>
    <x v="8"/>
    <x v="8"/>
  </r>
  <r>
    <s v="ORD-10528"/>
    <x v="368"/>
    <s v="Steven Lopez"/>
    <x v="2"/>
    <s v="Perfume Travel"/>
    <x v="1"/>
    <n v="2"/>
    <n v="2764.1423"/>
    <n v="10"/>
    <n v="4975.6453999999994"/>
    <n v="2453.7558999999997"/>
    <x v="0"/>
    <n v="2024"/>
    <x v="11"/>
    <x v="23"/>
    <n v="0.49315329022441989"/>
    <x v="23"/>
    <x v="23"/>
  </r>
  <r>
    <s v="ORD-10529"/>
    <x v="310"/>
    <s v="Jennifer Thompson"/>
    <x v="3"/>
    <s v="Rain Jacket"/>
    <x v="3"/>
    <n v="2"/>
    <n v="6798.2191999999995"/>
    <n v="5"/>
    <n v="12916.994999999999"/>
    <n v="3931.8764999999994"/>
    <x v="1"/>
    <n v="2024"/>
    <x v="7"/>
    <x v="10"/>
    <n v="0.30439560439560437"/>
    <x v="10"/>
    <x v="10"/>
  </r>
  <r>
    <s v="ORD-10530"/>
    <x v="139"/>
    <s v="Barbara Brown"/>
    <x v="1"/>
    <s v="Bluetooth Speaker"/>
    <x v="0"/>
    <n v="2"/>
    <n v="3694.3552"/>
    <n v="0"/>
    <n v="7388.7103999999999"/>
    <n v="1012.5409999999999"/>
    <x v="0"/>
    <n v="2025"/>
    <x v="5"/>
    <x v="5"/>
    <n v="0.1370389344262295"/>
    <x v="5"/>
    <x v="5"/>
  </r>
  <r>
    <s v="ORD-10531"/>
    <x v="23"/>
    <s v="Mary Jackson"/>
    <x v="3"/>
    <s v="Cutting Board"/>
    <x v="2"/>
    <n v="1"/>
    <n v="1540.5763999999999"/>
    <n v="20"/>
    <n v="1232.0826"/>
    <n v="303.76229999999998"/>
    <x v="1"/>
    <n v="2025"/>
    <x v="0"/>
    <x v="13"/>
    <n v="0.24654377880184331"/>
    <x v="13"/>
    <x v="13"/>
  </r>
  <r>
    <s v="ORD-10532"/>
    <x v="276"/>
    <s v="Andrew White"/>
    <x v="0"/>
    <s v="Nail Polish Set"/>
    <x v="1"/>
    <n v="4"/>
    <n v="3871.3132999999993"/>
    <n v="0"/>
    <n v="15485.253199999997"/>
    <n v="7448.327299999999"/>
    <x v="1"/>
    <n v="2025"/>
    <x v="11"/>
    <x v="19"/>
    <n v="0.48099486678073822"/>
    <x v="19"/>
    <x v="19"/>
  </r>
  <r>
    <s v="ORD-10533"/>
    <x v="144"/>
    <s v="Daniel Martin"/>
    <x v="2"/>
    <s v="USB-C Hub"/>
    <x v="0"/>
    <n v="2"/>
    <n v="9514.1002000000008"/>
    <n v="20"/>
    <n v="15222.1818"/>
    <n v="2735.7532999999999"/>
    <x v="0"/>
    <n v="2024"/>
    <x v="6"/>
    <x v="6"/>
    <n v="0.17972149695387293"/>
    <x v="6"/>
    <x v="6"/>
  </r>
  <r>
    <s v="ORD-10534"/>
    <x v="369"/>
    <s v="Lisa Gonzalez"/>
    <x v="4"/>
    <s v="Blender"/>
    <x v="2"/>
    <n v="1"/>
    <n v="2796.3164999999999"/>
    <n v="15"/>
    <n v="2377.1055999999999"/>
    <n v="916.96469999999988"/>
    <x v="0"/>
    <n v="2024"/>
    <x v="7"/>
    <x v="10"/>
    <n v="0.38574840764331209"/>
    <x v="10"/>
    <x v="10"/>
  </r>
  <r>
    <s v="ORD-10535"/>
    <x v="294"/>
    <s v="Lisa Perez"/>
    <x v="4"/>
    <s v="Jump Rope"/>
    <x v="4"/>
    <n v="3"/>
    <n v="3100.0787999999998"/>
    <n v="0"/>
    <n v="9300.2363999999998"/>
    <n v="1689.1455000000001"/>
    <x v="0"/>
    <n v="2024"/>
    <x v="8"/>
    <x v="12"/>
    <n v="0.18162393162393164"/>
    <x v="12"/>
    <x v="12"/>
  </r>
  <r>
    <s v="ORD-10536"/>
    <x v="133"/>
    <s v="David Harris"/>
    <x v="3"/>
    <s v="Athletic Socks"/>
    <x v="3"/>
    <n v="2"/>
    <n v="2294.7774999999997"/>
    <n v="15"/>
    <n v="3901.5948999999996"/>
    <n v="1567.0727999999999"/>
    <x v="1"/>
    <n v="2025"/>
    <x v="9"/>
    <x v="22"/>
    <n v="0.40164928450157655"/>
    <x v="22"/>
    <x v="22"/>
  </r>
  <r>
    <s v="ORD-10537"/>
    <x v="120"/>
    <s v="Ashley Williams"/>
    <x v="4"/>
    <s v="Throw Blanket"/>
    <x v="2"/>
    <n v="2"/>
    <n v="1702.3936999999999"/>
    <n v="10"/>
    <n v="3064.1194"/>
    <n v="1211.2639999999999"/>
    <x v="1"/>
    <n v="2024"/>
    <x v="7"/>
    <x v="10"/>
    <n v="0.39530574428659665"/>
    <x v="10"/>
    <x v="10"/>
  </r>
  <r>
    <s v="ORD-10538"/>
    <x v="370"/>
    <s v="Kevin Brown"/>
    <x v="1"/>
    <s v="Webcam HD"/>
    <x v="0"/>
    <n v="3"/>
    <n v="5226.4148999999998"/>
    <n v="15"/>
    <n v="13327.689199999999"/>
    <n v="1579.3747000000001"/>
    <x v="0"/>
    <n v="2024"/>
    <x v="2"/>
    <x v="2"/>
    <n v="0.11850326611758025"/>
    <x v="2"/>
    <x v="2"/>
  </r>
  <r>
    <s v="ORD-10539"/>
    <x v="371"/>
    <s v="Mark Robinson"/>
    <x v="0"/>
    <s v="Denim Jacket"/>
    <x v="3"/>
    <n v="1"/>
    <n v="4355.8189000000002"/>
    <n v="10"/>
    <n v="3920.5209"/>
    <n v="2005.2097000000001"/>
    <x v="0"/>
    <n v="2024"/>
    <x v="4"/>
    <x v="4"/>
    <n v="0.51146512189234861"/>
    <x v="4"/>
    <x v="4"/>
  </r>
  <r>
    <s v="ORD-10540"/>
    <x v="268"/>
    <s v="David Smith"/>
    <x v="0"/>
    <s v="Yoga Pants"/>
    <x v="3"/>
    <n v="4"/>
    <n v="5068.3828000000003"/>
    <n v="0"/>
    <n v="20273.531200000001"/>
    <n v="6277.7542000000003"/>
    <x v="0"/>
    <n v="2025"/>
    <x v="2"/>
    <x v="9"/>
    <n v="0.30965272591486181"/>
    <x v="9"/>
    <x v="9"/>
  </r>
  <r>
    <s v="ORD-10541"/>
    <x v="254"/>
    <s v="Robert Sanchez"/>
    <x v="4"/>
    <s v="Blender"/>
    <x v="2"/>
    <n v="3"/>
    <n v="6374.2767999999996"/>
    <n v="0"/>
    <n v="19122.830399999999"/>
    <n v="7625.2853999999998"/>
    <x v="0"/>
    <n v="2025"/>
    <x v="7"/>
    <x v="8"/>
    <n v="0.39875296912114017"/>
    <x v="8"/>
    <x v="8"/>
  </r>
  <r>
    <s v="ORD-10542"/>
    <x v="232"/>
    <s v="Jessica Moore"/>
    <x v="2"/>
    <s v="Polo Shirt"/>
    <x v="3"/>
    <n v="1"/>
    <n v="7761.5525999999991"/>
    <n v="10"/>
    <n v="6985.5865999999987"/>
    <n v="3321.5129999999999"/>
    <x v="1"/>
    <n v="2024"/>
    <x v="3"/>
    <x v="3"/>
    <n v="0.47548089948523442"/>
    <x v="3"/>
    <x v="3"/>
  </r>
  <r>
    <s v="ORD-10543"/>
    <x v="372"/>
    <s v="Kimberly Martinez"/>
    <x v="4"/>
    <s v="Rain Jacket"/>
    <x v="3"/>
    <n v="5"/>
    <n v="2519.9968999999996"/>
    <n v="15"/>
    <n v="10710.223400000001"/>
    <n v="4475.9989999999998"/>
    <x v="0"/>
    <n v="2024"/>
    <x v="4"/>
    <x v="4"/>
    <n v="0.41791836013429928"/>
    <x v="4"/>
    <x v="4"/>
  </r>
  <r>
    <s v="ORD-10544"/>
    <x v="373"/>
    <s v="Donald Garcia"/>
    <x v="2"/>
    <s v="Desk Lamp"/>
    <x v="2"/>
    <n v="1"/>
    <n v="3343.2778999999996"/>
    <n v="0"/>
    <n v="3343.2778999999996"/>
    <n v="850.72370000000001"/>
    <x v="0"/>
    <n v="2024"/>
    <x v="8"/>
    <x v="12"/>
    <n v="0.25445796773280499"/>
    <x v="12"/>
    <x v="12"/>
  </r>
  <r>
    <s v="ORD-10545"/>
    <x v="337"/>
    <s v="Jennifer Robinson"/>
    <x v="2"/>
    <s v="Blender"/>
    <x v="2"/>
    <n v="4"/>
    <n v="1785.6681000000001"/>
    <n v="0"/>
    <n v="7142.6724000000004"/>
    <n v="1439.3223"/>
    <x v="0"/>
    <n v="2024"/>
    <x v="4"/>
    <x v="4"/>
    <n v="0.20151033386327505"/>
    <x v="4"/>
    <x v="4"/>
  </r>
  <r>
    <s v="ORD-10546"/>
    <x v="374"/>
    <s v="Thomas Clark"/>
    <x v="4"/>
    <s v="Storage Bins"/>
    <x v="2"/>
    <n v="1"/>
    <n v="1148.8081999999999"/>
    <n v="15"/>
    <n v="976.58159999999998"/>
    <n v="314.17159999999996"/>
    <x v="1"/>
    <n v="2025"/>
    <x v="1"/>
    <x v="1"/>
    <n v="0.32170542635658911"/>
    <x v="1"/>
    <x v="1"/>
  </r>
  <r>
    <s v="ORD-10547"/>
    <x v="150"/>
    <s v="Anthony Ramirez"/>
    <x v="2"/>
    <s v="Blender"/>
    <x v="2"/>
    <n v="3"/>
    <n v="7140.7797999999993"/>
    <n v="20"/>
    <n v="17137.492999999999"/>
    <n v="6033.6088"/>
    <x v="1"/>
    <n v="2025"/>
    <x v="2"/>
    <x v="9"/>
    <n v="0.35207067918277196"/>
    <x v="9"/>
    <x v="9"/>
  </r>
  <r>
    <s v="ORD-10548"/>
    <x v="375"/>
    <s v="Joshua Martinez"/>
    <x v="4"/>
    <s v="Knife Set"/>
    <x v="2"/>
    <n v="1"/>
    <n v="6026.9846999999991"/>
    <n v="20"/>
    <n v="4821.3985000000002"/>
    <n v="1312.5180999999998"/>
    <x v="0"/>
    <n v="2024"/>
    <x v="2"/>
    <x v="2"/>
    <n v="0.27222767419038268"/>
    <x v="2"/>
    <x v="2"/>
  </r>
  <r>
    <s v="ORD-10549"/>
    <x v="119"/>
    <s v="Matthew Martinez"/>
    <x v="2"/>
    <s v="Scented Candle Set"/>
    <x v="2"/>
    <n v="1"/>
    <n v="963.33339999999998"/>
    <n v="0"/>
    <n v="963.33339999999998"/>
    <n v="219.54159999999999"/>
    <x v="0"/>
    <n v="2025"/>
    <x v="8"/>
    <x v="14"/>
    <n v="0.22789783889980353"/>
    <x v="14"/>
    <x v="14"/>
  </r>
  <r>
    <s v="ORD-10550"/>
    <x v="306"/>
    <s v="Mark Garcia"/>
    <x v="2"/>
    <s v="Face Moisturizer"/>
    <x v="1"/>
    <n v="1"/>
    <n v="3307.3185000000003"/>
    <n v="5"/>
    <n v="3141.7159999999999"/>
    <n v="1402.4166"/>
    <x v="1"/>
    <n v="2025"/>
    <x v="5"/>
    <x v="5"/>
    <n v="0.44638554216867471"/>
    <x v="5"/>
    <x v="5"/>
  </r>
  <r>
    <s v="ORD-10551"/>
    <x v="116"/>
    <s v="Joshua Hernandez"/>
    <x v="3"/>
    <s v="Foam Roller"/>
    <x v="4"/>
    <n v="4"/>
    <n v="4868.7134999999998"/>
    <n v="0"/>
    <n v="19474.853999999999"/>
    <n v="4198.7330999999995"/>
    <x v="1"/>
    <n v="2025"/>
    <x v="2"/>
    <x v="9"/>
    <n v="0.21559766763848395"/>
    <x v="9"/>
    <x v="9"/>
  </r>
  <r>
    <s v="ORD-10552"/>
    <x v="376"/>
    <s v="Barbara Anderson"/>
    <x v="0"/>
    <s v="Webcam HD"/>
    <x v="0"/>
    <n v="2"/>
    <n v="8227.1322"/>
    <n v="5"/>
    <n v="15631.929699999999"/>
    <n v="2987.4690999999998"/>
    <x v="2"/>
    <n v="2025"/>
    <x v="5"/>
    <x v="5"/>
    <n v="0.19111326351474062"/>
    <x v="5"/>
    <x v="5"/>
  </r>
  <r>
    <s v="ORD-10553"/>
    <x v="377"/>
    <s v="Jessica White"/>
    <x v="0"/>
    <s v="Foam Roller"/>
    <x v="4"/>
    <n v="2"/>
    <n v="1409.0407"/>
    <n v="10"/>
    <n v="2536.0839999999998"/>
    <n v="738.11399999999992"/>
    <x v="0"/>
    <n v="2024"/>
    <x v="4"/>
    <x v="4"/>
    <n v="0.29104477611940299"/>
    <x v="4"/>
    <x v="4"/>
  </r>
  <r>
    <s v="ORD-10554"/>
    <x v="148"/>
    <s v="William Williams"/>
    <x v="3"/>
    <s v="Hair Oil"/>
    <x v="1"/>
    <n v="2"/>
    <n v="4648.2255999999998"/>
    <n v="5"/>
    <n v="8831.8179"/>
    <n v="5273.7298999999994"/>
    <x v="1"/>
    <n v="2025"/>
    <x v="8"/>
    <x v="14"/>
    <n v="0.59712846887388826"/>
    <x v="14"/>
    <x v="14"/>
  </r>
  <r>
    <s v="ORD-10555"/>
    <x v="378"/>
    <s v="Joshua Davis"/>
    <x v="2"/>
    <s v="Face Moisturizer"/>
    <x v="1"/>
    <n v="1"/>
    <n v="3486.1692000000003"/>
    <n v="0"/>
    <n v="3486.1692000000003"/>
    <n v="2211.5030999999999"/>
    <x v="1"/>
    <n v="2025"/>
    <x v="9"/>
    <x v="22"/>
    <n v="0.63436482084690549"/>
    <x v="22"/>
    <x v="22"/>
  </r>
  <r>
    <s v="ORD-10556"/>
    <x v="340"/>
    <s v="Mary Lewis"/>
    <x v="1"/>
    <s v="Yoga Mat"/>
    <x v="4"/>
    <n v="3"/>
    <n v="1470.5501999999999"/>
    <n v="0"/>
    <n v="4411.6505999999999"/>
    <n v="1127.0433"/>
    <x v="0"/>
    <n v="2024"/>
    <x v="11"/>
    <x v="23"/>
    <n v="0.25546975546975548"/>
    <x v="23"/>
    <x v="23"/>
  </r>
  <r>
    <s v="ORD-10557"/>
    <x v="10"/>
    <s v="Thomas Moore"/>
    <x v="3"/>
    <s v="Face Moisturizer"/>
    <x v="1"/>
    <n v="1"/>
    <n v="712.56389999999999"/>
    <n v="10"/>
    <n v="641.59140000000002"/>
    <n v="391.76819999999998"/>
    <x v="0"/>
    <n v="2025"/>
    <x v="3"/>
    <x v="7"/>
    <n v="0.61061946902654862"/>
    <x v="7"/>
    <x v="7"/>
  </r>
  <r>
    <s v="ORD-10558"/>
    <x v="379"/>
    <s v="Jennifer Johnson"/>
    <x v="0"/>
    <s v="Resistance Bands"/>
    <x v="4"/>
    <n v="2"/>
    <n v="2163.2417999999998"/>
    <n v="10"/>
    <n v="3894.0244999999995"/>
    <n v="1111.9024999999999"/>
    <x v="2"/>
    <n v="2025"/>
    <x v="8"/>
    <x v="14"/>
    <n v="0.28554070473876064"/>
    <x v="14"/>
    <x v="14"/>
  </r>
  <r>
    <s v="ORD-10559"/>
    <x v="301"/>
    <s v="Kenneth Gonzalez"/>
    <x v="4"/>
    <s v="Denim Jacket"/>
    <x v="3"/>
    <n v="2"/>
    <n v="6414.9677000000001"/>
    <n v="5"/>
    <n v="12188.344000000001"/>
    <n v="6482.1549999999997"/>
    <x v="1"/>
    <n v="2025"/>
    <x v="9"/>
    <x v="22"/>
    <n v="0.5318322981366459"/>
    <x v="22"/>
    <x v="22"/>
  </r>
  <r>
    <s v="ORD-10560"/>
    <x v="380"/>
    <s v="William Smith"/>
    <x v="1"/>
    <s v="Jump Rope"/>
    <x v="4"/>
    <n v="1"/>
    <n v="4322.6984000000002"/>
    <n v="0"/>
    <n v="4322.6984000000002"/>
    <n v="863.97190000000001"/>
    <x v="0"/>
    <n v="2025"/>
    <x v="3"/>
    <x v="7"/>
    <n v="0.19986865148861646"/>
    <x v="7"/>
    <x v="7"/>
  </r>
  <r>
    <s v="ORD-10561"/>
    <x v="381"/>
    <s v="Steven Clark"/>
    <x v="4"/>
    <s v="Sunscreen SPF50"/>
    <x v="1"/>
    <n v="3"/>
    <n v="3402.8948"/>
    <n v="0"/>
    <n v="10208.684399999998"/>
    <n v="5599.2570999999998"/>
    <x v="0"/>
    <n v="2024"/>
    <x v="7"/>
    <x v="10"/>
    <n v="0.5484797923618836"/>
    <x v="10"/>
    <x v="10"/>
  </r>
  <r>
    <s v="ORD-10562"/>
    <x v="382"/>
    <s v="Richard Wilson"/>
    <x v="4"/>
    <s v="Laptop Stand"/>
    <x v="0"/>
    <n v="4"/>
    <n v="12776.9426"/>
    <n v="5"/>
    <n v="48552.760399999999"/>
    <n v="11141.736199999999"/>
    <x v="2"/>
    <n v="2024"/>
    <x v="5"/>
    <x v="18"/>
    <n v="0.22947688469634364"/>
    <x v="18"/>
    <x v="18"/>
  </r>
  <r>
    <s v="ORD-10563"/>
    <x v="383"/>
    <s v="Thomas Davis"/>
    <x v="2"/>
    <s v="Eye Cream"/>
    <x v="1"/>
    <n v="5"/>
    <n v="2567.3118999999997"/>
    <n v="0"/>
    <n v="12836.559499999999"/>
    <n v="7108.6055999999999"/>
    <x v="0"/>
    <n v="2025"/>
    <x v="10"/>
    <x v="21"/>
    <n v="0.55377810541835604"/>
    <x v="21"/>
    <x v="21"/>
  </r>
  <r>
    <s v="ORD-10564"/>
    <x v="384"/>
    <s v="Paul Wilson"/>
    <x v="3"/>
    <s v="Wireless Headphones"/>
    <x v="0"/>
    <n v="4"/>
    <n v="8994.5814999999984"/>
    <n v="5"/>
    <n v="34179.409699999997"/>
    <n v="6217.1909999999998"/>
    <x v="1"/>
    <n v="2025"/>
    <x v="10"/>
    <x v="21"/>
    <n v="0.18189872366344584"/>
    <x v="21"/>
    <x v="21"/>
  </r>
  <r>
    <s v="ORD-10565"/>
    <x v="385"/>
    <s v="Jessica Sanchez"/>
    <x v="3"/>
    <s v="Webcam HD"/>
    <x v="0"/>
    <n v="4"/>
    <n v="12877.250400000001"/>
    <n v="0"/>
    <n v="51509.001600000003"/>
    <n v="6073.3534"/>
    <x v="1"/>
    <n v="2025"/>
    <x v="8"/>
    <x v="14"/>
    <n v="0.11790858318636095"/>
    <x v="14"/>
    <x v="14"/>
  </r>
  <r>
    <s v="ORD-10566"/>
    <x v="386"/>
    <s v="Joseph Lopez"/>
    <x v="0"/>
    <s v="Water Bottle"/>
    <x v="4"/>
    <n v="2"/>
    <n v="4549.8103999999994"/>
    <n v="15"/>
    <n v="7735.0561999999991"/>
    <n v="2683.7067999999999"/>
    <x v="2"/>
    <n v="2025"/>
    <x v="8"/>
    <x v="14"/>
    <n v="0.34695375581110843"/>
    <x v="14"/>
    <x v="14"/>
  </r>
  <r>
    <s v="ORD-10567"/>
    <x v="339"/>
    <s v="Lisa Brown"/>
    <x v="1"/>
    <s v="Lip Balm Set"/>
    <x v="1"/>
    <n v="1"/>
    <n v="1478.1206"/>
    <n v="10"/>
    <n v="1330.4977999999999"/>
    <n v="556.42439999999999"/>
    <x v="1"/>
    <n v="2024"/>
    <x v="11"/>
    <x v="23"/>
    <n v="0.41820768136557612"/>
    <x v="23"/>
    <x v="23"/>
  </r>
  <r>
    <s v="ORD-10568"/>
    <x v="387"/>
    <s v="Donna Clark"/>
    <x v="1"/>
    <s v="Gym Bag"/>
    <x v="4"/>
    <n v="1"/>
    <n v="2840.7925999999998"/>
    <n v="0"/>
    <n v="2840.7925999999998"/>
    <n v="779.75119999999993"/>
    <x v="1"/>
    <n v="2025"/>
    <x v="6"/>
    <x v="20"/>
    <n v="0.27448367754830111"/>
    <x v="20"/>
    <x v="20"/>
  </r>
  <r>
    <s v="ORD-10569"/>
    <x v="305"/>
    <s v="Karen Lee"/>
    <x v="1"/>
    <s v="Desk Lamp"/>
    <x v="2"/>
    <n v="2"/>
    <n v="5533.9623999999994"/>
    <n v="0"/>
    <n v="11067.924799999999"/>
    <n v="3123.7362999999996"/>
    <x v="1"/>
    <n v="2025"/>
    <x v="9"/>
    <x v="22"/>
    <n v="0.28223324213406292"/>
    <x v="22"/>
    <x v="22"/>
  </r>
  <r>
    <s v="ORD-10570"/>
    <x v="362"/>
    <s v="Lisa Davis"/>
    <x v="3"/>
    <s v="Shampoo Organic"/>
    <x v="1"/>
    <n v="1"/>
    <n v="2766.9811999999997"/>
    <n v="5"/>
    <n v="2628.8213999999998"/>
    <n v="1198.9621"/>
    <x v="1"/>
    <n v="2025"/>
    <x v="2"/>
    <x v="9"/>
    <n v="0.45608351331893449"/>
    <x v="9"/>
    <x v="9"/>
  </r>
  <r>
    <s v="ORD-10571"/>
    <x v="133"/>
    <s v="Kimberly Jackson"/>
    <x v="0"/>
    <s v="Gym Bag"/>
    <x v="4"/>
    <n v="2"/>
    <n v="1663.5953999999997"/>
    <n v="20"/>
    <n v="2661.9418999999998"/>
    <n v="722.02689999999996"/>
    <x v="0"/>
    <n v="2025"/>
    <x v="9"/>
    <x v="22"/>
    <n v="0.27124066832563098"/>
    <x v="22"/>
    <x v="22"/>
  </r>
  <r>
    <s v="ORD-10572"/>
    <x v="388"/>
    <s v="Christopher Thompson"/>
    <x v="2"/>
    <s v="Sunscreen SPF50"/>
    <x v="1"/>
    <n v="1"/>
    <n v="938.7296"/>
    <n v="0"/>
    <n v="938.7296"/>
    <n v="506.27049999999997"/>
    <x v="1"/>
    <n v="2025"/>
    <x v="8"/>
    <x v="14"/>
    <n v="0.53931451612903225"/>
    <x v="14"/>
    <x v="14"/>
  </r>
  <r>
    <s v="ORD-10573"/>
    <x v="253"/>
    <s v="William Anderson"/>
    <x v="4"/>
    <s v="Swim Goggles"/>
    <x v="4"/>
    <n v="1"/>
    <n v="3598.7788999999998"/>
    <n v="0"/>
    <n v="3598.7788999999998"/>
    <n v="910.34059999999988"/>
    <x v="1"/>
    <n v="2024"/>
    <x v="11"/>
    <x v="23"/>
    <n v="0.25295819090191951"/>
    <x v="23"/>
    <x v="23"/>
  </r>
  <r>
    <s v="ORD-10574"/>
    <x v="389"/>
    <s v="Michelle Rodriguez"/>
    <x v="0"/>
    <s v="Desk Lamp"/>
    <x v="2"/>
    <n v="2"/>
    <n v="2892.8390999999997"/>
    <n v="5"/>
    <n v="5496.1103999999996"/>
    <n v="1509.3484999999998"/>
    <x v="0"/>
    <n v="2025"/>
    <x v="3"/>
    <x v="7"/>
    <n v="0.2746212121212121"/>
    <x v="7"/>
    <x v="7"/>
  </r>
  <r>
    <s v="ORD-10575"/>
    <x v="390"/>
    <s v="Richard White"/>
    <x v="0"/>
    <s v="Face Moisturizer"/>
    <x v="1"/>
    <n v="1"/>
    <n v="2136.7453999999998"/>
    <n v="10"/>
    <n v="1922.8815999999999"/>
    <n v="823.28099999999995"/>
    <x v="1"/>
    <n v="2025"/>
    <x v="9"/>
    <x v="22"/>
    <n v="0.42814960629921256"/>
    <x v="22"/>
    <x v="22"/>
  </r>
  <r>
    <s v="ORD-10576"/>
    <x v="391"/>
    <s v="Andrew Robinson"/>
    <x v="1"/>
    <s v="Foam Roller"/>
    <x v="4"/>
    <n v="1"/>
    <n v="4601.8568999999998"/>
    <n v="15"/>
    <n v="3912.0042000000003"/>
    <n v="865.86450000000002"/>
    <x v="0"/>
    <n v="2024"/>
    <x v="1"/>
    <x v="11"/>
    <n v="0.22133526850507981"/>
    <x v="11"/>
    <x v="11"/>
  </r>
  <r>
    <s v="ORD-10577"/>
    <x v="371"/>
    <s v="Matthew Lopez"/>
    <x v="0"/>
    <s v="Keyboard Mechanical"/>
    <x v="0"/>
    <n v="1"/>
    <n v="12610.393799999998"/>
    <n v="10"/>
    <n v="11348.975899999999"/>
    <n v="2334.5221000000001"/>
    <x v="0"/>
    <n v="2024"/>
    <x v="4"/>
    <x v="4"/>
    <n v="0.20570332694071544"/>
    <x v="4"/>
    <x v="4"/>
  </r>
  <r>
    <s v="ORD-10578"/>
    <x v="46"/>
    <s v="Susan Jackson"/>
    <x v="2"/>
    <s v="Webcam HD"/>
    <x v="0"/>
    <n v="1"/>
    <n v="8974.7091999999993"/>
    <n v="5"/>
    <n v="8526.1629999999986"/>
    <n v="2000.4782"/>
    <x v="0"/>
    <n v="2025"/>
    <x v="10"/>
    <x v="21"/>
    <n v="0.23462819089900114"/>
    <x v="21"/>
    <x v="21"/>
  </r>
  <r>
    <s v="ORD-10579"/>
    <x v="392"/>
    <s v="Lisa Ramirez"/>
    <x v="1"/>
    <s v="Jump Rope"/>
    <x v="4"/>
    <n v="3"/>
    <n v="1008.7557999999999"/>
    <n v="10"/>
    <n v="2723.4513999999999"/>
    <n v="420.15719999999999"/>
    <x v="0"/>
    <n v="2024"/>
    <x v="4"/>
    <x v="4"/>
    <n v="0.15427380125086865"/>
    <x v="4"/>
    <x v="4"/>
  </r>
  <r>
    <s v="ORD-10580"/>
    <x v="342"/>
    <s v="Andrew Hernandez"/>
    <x v="0"/>
    <s v="Jump Rope"/>
    <x v="4"/>
    <n v="2"/>
    <n v="4996.4639999999999"/>
    <n v="10"/>
    <n v="8993.6352000000006"/>
    <n v="1671.1658"/>
    <x v="1"/>
    <n v="2024"/>
    <x v="4"/>
    <x v="4"/>
    <n v="0.1858164983164983"/>
    <x v="4"/>
    <x v="4"/>
  </r>
  <r>
    <s v="ORD-10581"/>
    <x v="300"/>
    <s v="Matthew Taylor"/>
    <x v="3"/>
    <s v="Athletic Socks"/>
    <x v="3"/>
    <n v="1"/>
    <n v="8372.8624"/>
    <n v="20"/>
    <n v="6697.9114"/>
    <n v="3639.4697999999999"/>
    <x v="1"/>
    <n v="2024"/>
    <x v="6"/>
    <x v="6"/>
    <n v="0.54337383441650178"/>
    <x v="6"/>
    <x v="6"/>
  </r>
  <r>
    <s v="ORD-10582"/>
    <x v="393"/>
    <s v="Matthew Gonzalez"/>
    <x v="3"/>
    <s v="Perfume Travel"/>
    <x v="1"/>
    <n v="3"/>
    <n v="4634.9773999999998"/>
    <n v="5"/>
    <n v="13209.4017"/>
    <n v="7218.3764000000001"/>
    <x v="0"/>
    <n v="2024"/>
    <x v="1"/>
    <x v="11"/>
    <n v="0.54645748262769533"/>
    <x v="11"/>
    <x v="11"/>
  </r>
  <r>
    <s v="ORD-10583"/>
    <x v="218"/>
    <s v="David White"/>
    <x v="4"/>
    <s v="Rain Jacket"/>
    <x v="3"/>
    <n v="2"/>
    <n v="6645.8649000000005"/>
    <n v="15"/>
    <n v="11297.875699999999"/>
    <n v="5097.7180999999991"/>
    <x v="1"/>
    <n v="2024"/>
    <x v="6"/>
    <x v="6"/>
    <n v="0.4512103191222045"/>
    <x v="6"/>
    <x v="6"/>
  </r>
  <r>
    <s v="ORD-10584"/>
    <x v="394"/>
    <s v="Michelle Harris"/>
    <x v="1"/>
    <s v="Resistance Bands"/>
    <x v="4"/>
    <n v="2"/>
    <n v="1632.3674999999998"/>
    <n v="15"/>
    <n v="2775.4978999999998"/>
    <n v="646.3229"/>
    <x v="0"/>
    <n v="2024"/>
    <x v="0"/>
    <x v="0"/>
    <n v="0.23286737129219232"/>
    <x v="0"/>
    <x v="0"/>
  </r>
  <r>
    <s v="ORD-10585"/>
    <x v="395"/>
    <s v="Paul Garcia"/>
    <x v="3"/>
    <s v="Portable Charger"/>
    <x v="0"/>
    <n v="2"/>
    <n v="11590.2824"/>
    <n v="10"/>
    <n v="20862.129799999999"/>
    <n v="2015.6189999999999"/>
    <x v="0"/>
    <n v="2024"/>
    <x v="4"/>
    <x v="4"/>
    <n v="9.6616166197949743E-2"/>
    <x v="4"/>
    <x v="4"/>
  </r>
  <r>
    <s v="ORD-10586"/>
    <x v="396"/>
    <s v="Kimberly Williams"/>
    <x v="1"/>
    <s v="Scented Candle Set"/>
    <x v="2"/>
    <n v="1"/>
    <n v="3895.9171000000001"/>
    <n v="10"/>
    <n v="3506.0414999999994"/>
    <n v="1328.6052"/>
    <x v="0"/>
    <n v="2025"/>
    <x v="4"/>
    <x v="16"/>
    <n v="0.3789473684210527"/>
    <x v="16"/>
    <x v="16"/>
  </r>
  <r>
    <s v="ORD-10587"/>
    <x v="312"/>
    <s v="Andrew Clark"/>
    <x v="4"/>
    <s v="Cutting Board"/>
    <x v="2"/>
    <n v="4"/>
    <n v="4035.9694999999997"/>
    <n v="10"/>
    <n v="14529.490199999998"/>
    <n v="3863.7428999999997"/>
    <x v="0"/>
    <n v="2025"/>
    <x v="0"/>
    <x v="13"/>
    <n v="0.26592418913638138"/>
    <x v="13"/>
    <x v="13"/>
  </r>
  <r>
    <s v="ORD-10588"/>
    <x v="397"/>
    <s v="Thomas Smith"/>
    <x v="4"/>
    <s v="Dumbbells 10lb"/>
    <x v="4"/>
    <n v="2"/>
    <n v="4260.2426000000005"/>
    <n v="15"/>
    <n v="7242.0338999999994"/>
    <n v="2378.9982"/>
    <x v="2"/>
    <n v="2025"/>
    <x v="2"/>
    <x v="9"/>
    <n v="0.32849862798902396"/>
    <x v="9"/>
    <x v="9"/>
  </r>
  <r>
    <s v="ORD-10589"/>
    <x v="147"/>
    <s v="Barbara Johnson"/>
    <x v="4"/>
    <s v="Hair Oil"/>
    <x v="1"/>
    <n v="2"/>
    <n v="2696.9549999999999"/>
    <n v="0"/>
    <n v="5393.91"/>
    <n v="2847.4166999999998"/>
    <x v="0"/>
    <n v="2024"/>
    <x v="10"/>
    <x v="17"/>
    <n v="0.52789473684210519"/>
    <x v="17"/>
    <x v="17"/>
  </r>
  <r>
    <s v="ORD-10590"/>
    <x v="363"/>
    <s v="Susan Smith"/>
    <x v="3"/>
    <s v="Sunscreen SPF50"/>
    <x v="1"/>
    <n v="1"/>
    <n v="3938.5005999999994"/>
    <n v="10"/>
    <n v="3544.8397999999997"/>
    <n v="1824.4664"/>
    <x v="0"/>
    <n v="2024"/>
    <x v="1"/>
    <x v="11"/>
    <n v="0.51468232781633749"/>
    <x v="11"/>
    <x v="11"/>
  </r>
  <r>
    <s v="ORD-10591"/>
    <x v="398"/>
    <s v="Sandra Jackson"/>
    <x v="0"/>
    <s v="Hair Oil"/>
    <x v="1"/>
    <n v="1"/>
    <n v="2452.8096"/>
    <n v="10"/>
    <n v="2207.7178999999996"/>
    <n v="1201.8009999999999"/>
    <x v="0"/>
    <n v="2024"/>
    <x v="9"/>
    <x v="15"/>
    <n v="0.54436348049721395"/>
    <x v="15"/>
    <x v="15"/>
  </r>
  <r>
    <s v="ORD-10592"/>
    <x v="42"/>
    <s v="Robert Jones"/>
    <x v="4"/>
    <s v="Face Mask Pack"/>
    <x v="1"/>
    <n v="4"/>
    <n v="4475.9989999999998"/>
    <n v="5"/>
    <n v="17008.796200000001"/>
    <n v="8021.7850999999991"/>
    <x v="1"/>
    <n v="2024"/>
    <x v="2"/>
    <x v="2"/>
    <n v="0.47162568154000217"/>
    <x v="2"/>
    <x v="2"/>
  </r>
  <r>
    <s v="ORD-10593"/>
    <x v="246"/>
    <s v="Steven Wilson"/>
    <x v="0"/>
    <s v="Polo Shirt"/>
    <x v="3"/>
    <n v="4"/>
    <n v="3010.1802999999995"/>
    <n v="10"/>
    <n v="10837.027599999999"/>
    <n v="5049.4567999999999"/>
    <x v="2"/>
    <n v="2025"/>
    <x v="10"/>
    <x v="21"/>
    <n v="0.46594481313307723"/>
    <x v="21"/>
    <x v="21"/>
  </r>
  <r>
    <s v="ORD-10594"/>
    <x v="399"/>
    <s v="Emily Garcia"/>
    <x v="0"/>
    <s v="Athletic Socks"/>
    <x v="3"/>
    <n v="2"/>
    <n v="4869.6597999999994"/>
    <n v="0"/>
    <n v="9739.3195999999989"/>
    <n v="4585.7698"/>
    <x v="0"/>
    <n v="2024"/>
    <x v="10"/>
    <x v="17"/>
    <n v="0.47085114652157023"/>
    <x v="17"/>
    <x v="17"/>
  </r>
  <r>
    <s v="ORD-10595"/>
    <x v="278"/>
    <s v="Michael Hernandez"/>
    <x v="0"/>
    <s v="Casual Sneakers"/>
    <x v="3"/>
    <n v="3"/>
    <n v="3322.4593"/>
    <n v="5"/>
    <n v="9468.6777999999995"/>
    <n v="4778.8149999999996"/>
    <x v="0"/>
    <n v="2024"/>
    <x v="10"/>
    <x v="17"/>
    <n v="0.50469718169098543"/>
    <x v="17"/>
    <x v="17"/>
  </r>
  <r>
    <s v="ORD-10596"/>
    <x v="297"/>
    <s v="Linda Martinez"/>
    <x v="2"/>
    <s v="Body Lotion"/>
    <x v="1"/>
    <n v="2"/>
    <n v="2856.8797"/>
    <n v="0"/>
    <n v="5713.7593999999999"/>
    <n v="3238.2385999999997"/>
    <x v="2"/>
    <n v="2025"/>
    <x v="3"/>
    <x v="7"/>
    <n v="0.56674395495197083"/>
    <x v="7"/>
    <x v="7"/>
  </r>
  <r>
    <s v="ORD-10597"/>
    <x v="221"/>
    <s v="Carol White"/>
    <x v="3"/>
    <s v="Throw Blanket"/>
    <x v="2"/>
    <n v="2"/>
    <n v="5373.0914000000002"/>
    <n v="10"/>
    <n v="9671.1859999999997"/>
    <n v="2873.9130999999998"/>
    <x v="1"/>
    <n v="2024"/>
    <x v="1"/>
    <x v="11"/>
    <n v="0.29716242661448139"/>
    <x v="11"/>
    <x v="11"/>
  </r>
  <r>
    <s v="ORD-10598"/>
    <x v="330"/>
    <s v="Kimberly Martin"/>
    <x v="0"/>
    <s v="Sunscreen SPF50"/>
    <x v="1"/>
    <n v="4"/>
    <n v="1517.8652"/>
    <n v="5"/>
    <n v="5767.6985000000004"/>
    <n v="2877.6983"/>
    <x v="1"/>
    <n v="2025"/>
    <x v="8"/>
    <x v="14"/>
    <n v="0.49893355209187856"/>
    <x v="14"/>
    <x v="14"/>
  </r>
  <r>
    <s v="ORD-10599"/>
    <x v="37"/>
    <s v="Christopher Clark"/>
    <x v="2"/>
    <s v="Wireless Headphones"/>
    <x v="0"/>
    <n v="2"/>
    <n v="7843.8806999999997"/>
    <n v="10"/>
    <n v="14118.795999999998"/>
    <n v="2869.1815999999999"/>
    <x v="1"/>
    <n v="2025"/>
    <x v="3"/>
    <x v="7"/>
    <n v="0.20321715817694372"/>
    <x v="7"/>
    <x v="7"/>
  </r>
  <r>
    <s v="ORD-10600"/>
    <x v="400"/>
    <s v="Michelle Perez"/>
    <x v="2"/>
    <s v="Athletic Socks"/>
    <x v="3"/>
    <n v="1"/>
    <n v="3894.9707999999996"/>
    <n v="0"/>
    <n v="3894.9707999999996"/>
    <n v="1775.2588000000001"/>
    <x v="0"/>
    <n v="2024"/>
    <x v="7"/>
    <x v="10"/>
    <n v="0.45578231292517013"/>
    <x v="10"/>
    <x v="10"/>
  </r>
  <r>
    <s v="ORD-10601"/>
    <x v="401"/>
    <s v="Joseph Jones"/>
    <x v="0"/>
    <s v="Cutting Board"/>
    <x v="2"/>
    <n v="3"/>
    <n v="2480.2523000000001"/>
    <n v="20"/>
    <n v="5952.2269999999999"/>
    <n v="2183.1140999999998"/>
    <x v="1"/>
    <n v="2024"/>
    <x v="8"/>
    <x v="12"/>
    <n v="0.36677265500794909"/>
    <x v="12"/>
    <x v="12"/>
  </r>
  <r>
    <s v="ORD-10602"/>
    <x v="402"/>
    <s v="Richard Lewis"/>
    <x v="4"/>
    <s v="Mouse Wireless"/>
    <x v="0"/>
    <n v="1"/>
    <n v="13493.2917"/>
    <n v="10"/>
    <n v="12143.867900000001"/>
    <n v="2214.3419999999996"/>
    <x v="0"/>
    <n v="2025"/>
    <x v="5"/>
    <x v="5"/>
    <n v="0.18234239850385719"/>
    <x v="5"/>
    <x v="5"/>
  </r>
  <r>
    <s v="ORD-10603"/>
    <x v="172"/>
    <s v="Ashley Johnson"/>
    <x v="0"/>
    <s v="Body Lotion"/>
    <x v="1"/>
    <n v="1"/>
    <n v="3683.9458999999997"/>
    <n v="15"/>
    <n v="3131.3067000000001"/>
    <n v="1903.0092999999999"/>
    <x v="0"/>
    <n v="2025"/>
    <x v="3"/>
    <x v="7"/>
    <n v="0.6077364762768207"/>
    <x v="7"/>
    <x v="7"/>
  </r>
  <r>
    <s v="ORD-10604"/>
    <x v="342"/>
    <s v="Daniel Miller"/>
    <x v="4"/>
    <s v="Jump Rope"/>
    <x v="4"/>
    <n v="1"/>
    <n v="2837.0074"/>
    <n v="5"/>
    <n v="2695.0623999999998"/>
    <n v="639.69880000000001"/>
    <x v="0"/>
    <n v="2024"/>
    <x v="4"/>
    <x v="4"/>
    <n v="0.23735955056179778"/>
    <x v="4"/>
    <x v="4"/>
  </r>
  <r>
    <s v="ORD-10605"/>
    <x v="208"/>
    <s v="Daniel Thompson"/>
    <x v="0"/>
    <s v="Athletic Socks"/>
    <x v="3"/>
    <n v="3"/>
    <n v="3334.7611999999999"/>
    <n v="10"/>
    <n v="9004.0445"/>
    <n v="3152.1253000000002"/>
    <x v="1"/>
    <n v="2024"/>
    <x v="6"/>
    <x v="6"/>
    <n v="0.35007882291119286"/>
    <x v="6"/>
    <x v="6"/>
  </r>
  <r>
    <s v="ORD-10606"/>
    <x v="385"/>
    <s v="Linda Martinez"/>
    <x v="3"/>
    <s v="Face Mask Pack"/>
    <x v="1"/>
    <n v="2"/>
    <n v="2927.8521999999998"/>
    <n v="0"/>
    <n v="5855.7043999999996"/>
    <n v="2944.8856000000001"/>
    <x v="0"/>
    <n v="2025"/>
    <x v="8"/>
    <x v="14"/>
    <n v="0.50290885585003231"/>
    <x v="14"/>
    <x v="14"/>
  </r>
  <r>
    <s v="ORD-10607"/>
    <x v="282"/>
    <s v="James Brown"/>
    <x v="4"/>
    <s v="Laptop Stand"/>
    <x v="0"/>
    <n v="2"/>
    <n v="13774.3428"/>
    <n v="0"/>
    <n v="27548.685600000001"/>
    <n v="4125.8679999999995"/>
    <x v="1"/>
    <n v="2024"/>
    <x v="9"/>
    <x v="15"/>
    <n v="0.14976641934597415"/>
    <x v="15"/>
    <x v="15"/>
  </r>
  <r>
    <s v="ORD-10608"/>
    <x v="403"/>
    <s v="Joshua Johnson"/>
    <x v="2"/>
    <s v="Cycling Gloves"/>
    <x v="4"/>
    <n v="1"/>
    <n v="2043.0617"/>
    <n v="0"/>
    <n v="2043.0617"/>
    <n v="355.80879999999996"/>
    <x v="0"/>
    <n v="2024"/>
    <x v="3"/>
    <x v="3"/>
    <n v="0.17415470125057897"/>
    <x v="3"/>
    <x v="3"/>
  </r>
  <r>
    <s v="ORD-10609"/>
    <x v="172"/>
    <s v="Linda Lewis"/>
    <x v="2"/>
    <s v="Coffee Maker"/>
    <x v="2"/>
    <n v="2"/>
    <n v="1994.8003999999999"/>
    <n v="5"/>
    <n v="3789.9314999999997"/>
    <n v="763.66409999999996"/>
    <x v="0"/>
    <n v="2025"/>
    <x v="3"/>
    <x v="7"/>
    <n v="0.20149812734082398"/>
    <x v="7"/>
    <x v="7"/>
  </r>
  <r>
    <s v="ORD-10610"/>
    <x v="404"/>
    <s v="Donna Moore"/>
    <x v="0"/>
    <s v="Casual Sneakers"/>
    <x v="3"/>
    <n v="4"/>
    <n v="5303.0652"/>
    <n v="10"/>
    <n v="19090.656200000001"/>
    <n v="7000.7273999999998"/>
    <x v="1"/>
    <n v="2024"/>
    <x v="4"/>
    <x v="4"/>
    <n v="0.36670962625161097"/>
    <x v="4"/>
    <x v="4"/>
  </r>
  <r>
    <s v="ORD-10611"/>
    <x v="102"/>
    <s v="James Garcia"/>
    <x v="2"/>
    <s v="Door Mat"/>
    <x v="2"/>
    <n v="1"/>
    <n v="1467.7112999999999"/>
    <n v="20"/>
    <n v="1174.3582999999999"/>
    <n v="453.27769999999998"/>
    <x v="2"/>
    <n v="2024"/>
    <x v="0"/>
    <x v="0"/>
    <n v="0.38597904915390818"/>
    <x v="0"/>
    <x v="0"/>
  </r>
  <r>
    <s v="ORD-10612"/>
    <x v="63"/>
    <s v="Joseph Brown"/>
    <x v="0"/>
    <s v="Storage Bins"/>
    <x v="2"/>
    <n v="2"/>
    <n v="6183.1242000000002"/>
    <n v="15"/>
    <n v="10511.500399999999"/>
    <n v="3997.1711999999998"/>
    <x v="1"/>
    <n v="2024"/>
    <x v="1"/>
    <x v="11"/>
    <n v="0.38026647461289165"/>
    <x v="11"/>
    <x v="11"/>
  </r>
  <r>
    <s v="ORD-10613"/>
    <x v="75"/>
    <s v="Kimberly Martin"/>
    <x v="3"/>
    <s v="Wool Sweater"/>
    <x v="3"/>
    <n v="4"/>
    <n v="3296.9092000000001"/>
    <n v="0"/>
    <n v="13187.6368"/>
    <n v="4896.1562000000004"/>
    <x v="1"/>
    <n v="2025"/>
    <x v="7"/>
    <x v="8"/>
    <n v="0.37126865671641796"/>
    <x v="8"/>
    <x v="8"/>
  </r>
  <r>
    <s v="ORD-10614"/>
    <x v="43"/>
    <s v="Jennifer Jones"/>
    <x v="4"/>
    <s v="Lip Balm Set"/>
    <x v="1"/>
    <n v="3"/>
    <n v="1970.1966"/>
    <n v="10"/>
    <n v="5319.1522999999997"/>
    <n v="2736.6995999999999"/>
    <x v="0"/>
    <n v="2025"/>
    <x v="11"/>
    <x v="19"/>
    <n v="0.51449919943070632"/>
    <x v="19"/>
    <x v="19"/>
  </r>
  <r>
    <s v="ORD-10615"/>
    <x v="405"/>
    <s v="Thomas Moore"/>
    <x v="4"/>
    <s v="Cutting Board"/>
    <x v="2"/>
    <n v="1"/>
    <n v="5517.8752999999997"/>
    <n v="10"/>
    <n v="4966.1823999999997"/>
    <n v="1655.0786999999998"/>
    <x v="0"/>
    <n v="2024"/>
    <x v="5"/>
    <x v="18"/>
    <n v="0.33326981707317072"/>
    <x v="18"/>
    <x v="18"/>
  </r>
  <r>
    <s v="ORD-10616"/>
    <x v="406"/>
    <s v="Nancy Lopez"/>
    <x v="0"/>
    <s v="Knife Set"/>
    <x v="2"/>
    <n v="2"/>
    <n v="2663.8344999999999"/>
    <n v="10"/>
    <n v="4794.9021000000002"/>
    <n v="1113.7950999999998"/>
    <x v="0"/>
    <n v="2024"/>
    <x v="5"/>
    <x v="18"/>
    <n v="0.23228734951647914"/>
    <x v="18"/>
    <x v="18"/>
  </r>
  <r>
    <s v="ORD-10617"/>
    <x v="407"/>
    <s v="Kevin Clark"/>
    <x v="3"/>
    <s v="Cotton T-Shirt"/>
    <x v="3"/>
    <n v="1"/>
    <n v="6898.527"/>
    <n v="0"/>
    <n v="6898.527"/>
    <n v="2226.6439"/>
    <x v="1"/>
    <n v="2024"/>
    <x v="9"/>
    <x v="15"/>
    <n v="0.32277091906721539"/>
    <x v="15"/>
    <x v="15"/>
  </r>
  <r>
    <s v="ORD-10618"/>
    <x v="262"/>
    <s v="Betty Jones"/>
    <x v="1"/>
    <s v="Swim Goggles"/>
    <x v="4"/>
    <n v="1"/>
    <n v="1108.1173000000001"/>
    <n v="5"/>
    <n v="1052.2855999999999"/>
    <n v="293.35300000000001"/>
    <x v="2"/>
    <n v="2024"/>
    <x v="0"/>
    <x v="0"/>
    <n v="0.27877697841726623"/>
    <x v="0"/>
    <x v="0"/>
  </r>
  <r>
    <s v="ORD-10619"/>
    <x v="408"/>
    <s v="Sarah Davis"/>
    <x v="2"/>
    <s v="Mouse Wireless"/>
    <x v="0"/>
    <n v="3"/>
    <n v="5064.5976000000001"/>
    <n v="25"/>
    <n v="11395.3446"/>
    <n v="1258.579"/>
    <x v="0"/>
    <n v="2025"/>
    <x v="7"/>
    <x v="8"/>
    <n v="0.11044676963959474"/>
    <x v="8"/>
    <x v="8"/>
  </r>
  <r>
    <s v="ORD-10620"/>
    <x v="334"/>
    <s v="Michelle Garcia"/>
    <x v="2"/>
    <s v="Keyboard Mechanical"/>
    <x v="0"/>
    <n v="1"/>
    <n v="13915.3415"/>
    <n v="5"/>
    <n v="13219.810999999998"/>
    <n v="3101.0251000000003"/>
    <x v="0"/>
    <n v="2025"/>
    <x v="8"/>
    <x v="14"/>
    <n v="0.23457408732999291"/>
    <x v="14"/>
    <x v="14"/>
  </r>
  <r>
    <s v="ORD-10621"/>
    <x v="409"/>
    <s v="Carol Smith"/>
    <x v="1"/>
    <s v="Portable Charger"/>
    <x v="0"/>
    <n v="1"/>
    <n v="2696.9549999999999"/>
    <n v="5"/>
    <n v="2562.5803999999998"/>
    <n v="261.17879999999997"/>
    <x v="0"/>
    <n v="2025"/>
    <x v="1"/>
    <x v="1"/>
    <n v="0.10192023633677991"/>
    <x v="1"/>
    <x v="1"/>
  </r>
  <r>
    <s v="ORD-10622"/>
    <x v="410"/>
    <s v="Elizabeth Gonzalez"/>
    <x v="2"/>
    <s v="Nail Polish Set"/>
    <x v="1"/>
    <n v="1"/>
    <n v="3849.5483999999997"/>
    <n v="0"/>
    <n v="3849.5483999999997"/>
    <n v="1659.8101999999999"/>
    <x v="0"/>
    <n v="2024"/>
    <x v="5"/>
    <x v="18"/>
    <n v="0.43117010816125861"/>
    <x v="18"/>
    <x v="18"/>
  </r>
  <r>
    <s v="ORD-10623"/>
    <x v="316"/>
    <s v="Emily Martin"/>
    <x v="4"/>
    <s v="Face Mask Pack"/>
    <x v="1"/>
    <n v="1"/>
    <n v="3284.6073000000001"/>
    <n v="10"/>
    <n v="2956.2411999999999"/>
    <n v="1724.1585999999998"/>
    <x v="1"/>
    <n v="2024"/>
    <x v="8"/>
    <x v="12"/>
    <n v="0.58322663252240714"/>
    <x v="12"/>
    <x v="12"/>
  </r>
  <r>
    <s v="ORD-10624"/>
    <x v="411"/>
    <s v="Emily Perez"/>
    <x v="2"/>
    <s v="Resistance Bands"/>
    <x v="4"/>
    <n v="2"/>
    <n v="2726.2902999999997"/>
    <n v="5"/>
    <n v="5180.0461999999998"/>
    <n v="1476.2279999999998"/>
    <x v="1"/>
    <n v="2025"/>
    <x v="5"/>
    <x v="5"/>
    <n v="0.28498355864084762"/>
    <x v="5"/>
    <x v="5"/>
  </r>
  <r>
    <s v="ORD-10625"/>
    <x v="412"/>
    <s v="Anthony Johnson"/>
    <x v="1"/>
    <s v="Perfume Travel"/>
    <x v="1"/>
    <n v="1"/>
    <n v="773.12709999999993"/>
    <n v="0"/>
    <n v="773.12709999999993"/>
    <n v="432.45909999999998"/>
    <x v="0"/>
    <n v="2024"/>
    <x v="8"/>
    <x v="12"/>
    <n v="0.55936352509179932"/>
    <x v="12"/>
    <x v="12"/>
  </r>
  <r>
    <s v="ORD-10626"/>
    <x v="367"/>
    <s v="Donna Hernandez"/>
    <x v="3"/>
    <s v="Face Moisturizer"/>
    <x v="1"/>
    <n v="1"/>
    <n v="2275.8514999999998"/>
    <n v="20"/>
    <n v="1820.6811999999998"/>
    <n v="758.93259999999998"/>
    <x v="1"/>
    <n v="2025"/>
    <x v="7"/>
    <x v="8"/>
    <n v="0.41683991683991689"/>
    <x v="8"/>
    <x v="8"/>
  </r>
  <r>
    <s v="ORD-10627"/>
    <x v="289"/>
    <s v="Barbara Harris"/>
    <x v="3"/>
    <s v="Resistance Bands"/>
    <x v="4"/>
    <n v="1"/>
    <n v="4679.4534999999996"/>
    <n v="10"/>
    <n v="4211.9812999999995"/>
    <n v="739.06029999999998"/>
    <x v="0"/>
    <n v="2025"/>
    <x v="11"/>
    <x v="19"/>
    <n v="0.17546618737362393"/>
    <x v="19"/>
    <x v="19"/>
  </r>
  <r>
    <s v="ORD-10628"/>
    <x v="413"/>
    <s v="Kimberly Lopez"/>
    <x v="2"/>
    <s v="Running Shoes"/>
    <x v="3"/>
    <n v="1"/>
    <n v="2811.4573"/>
    <n v="0"/>
    <n v="2811.4573"/>
    <n v="1528.2744999999998"/>
    <x v="0"/>
    <n v="2024"/>
    <x v="6"/>
    <x v="6"/>
    <n v="0.54358801750252428"/>
    <x v="6"/>
    <x v="6"/>
  </r>
  <r>
    <s v="ORD-10629"/>
    <x v="119"/>
    <s v="Sarah Perez"/>
    <x v="3"/>
    <s v="Rain Jacket"/>
    <x v="3"/>
    <n v="3"/>
    <n v="5865.1673999999994"/>
    <n v="20"/>
    <n v="14076.2125"/>
    <n v="7563.7759000000005"/>
    <x v="1"/>
    <n v="2025"/>
    <x v="8"/>
    <x v="14"/>
    <n v="0.53734453781512614"/>
    <x v="14"/>
    <x v="14"/>
  </r>
  <r>
    <s v="ORD-10630"/>
    <x v="359"/>
    <s v="Joseph Anderson"/>
    <x v="3"/>
    <s v="Shampoo Organic"/>
    <x v="1"/>
    <n v="5"/>
    <n v="3334.7611999999999"/>
    <n v="10"/>
    <n v="15006.4254"/>
    <n v="7454.9513999999999"/>
    <x v="1"/>
    <n v="2024"/>
    <x v="10"/>
    <x v="17"/>
    <n v="0.4967839576239122"/>
    <x v="17"/>
    <x v="17"/>
  </r>
  <r>
    <s v="ORD-10631"/>
    <x v="22"/>
    <s v="David Thomas"/>
    <x v="0"/>
    <s v="Dumbbells 10lb"/>
    <x v="4"/>
    <n v="3"/>
    <n v="1461.0871999999999"/>
    <n v="0"/>
    <n v="4383.2615999999998"/>
    <n v="1003.078"/>
    <x v="0"/>
    <n v="2024"/>
    <x v="8"/>
    <x v="12"/>
    <n v="0.22884283246977549"/>
    <x v="12"/>
    <x v="12"/>
  </r>
  <r>
    <s v="ORD-10632"/>
    <x v="351"/>
    <s v="James Johnson"/>
    <x v="2"/>
    <s v="Swim Goggles"/>
    <x v="4"/>
    <n v="4"/>
    <n v="4122.0828000000001"/>
    <n v="0"/>
    <n v="16488.331200000001"/>
    <n v="3622.4364"/>
    <x v="0"/>
    <n v="2025"/>
    <x v="4"/>
    <x v="16"/>
    <n v="0.2196969696969697"/>
    <x v="16"/>
    <x v="16"/>
  </r>
  <r>
    <s v="ORD-10633"/>
    <x v="414"/>
    <s v="Susan Taylor"/>
    <x v="3"/>
    <s v="Shampoo Organic"/>
    <x v="1"/>
    <n v="2"/>
    <n v="2772.6590000000001"/>
    <n v="20"/>
    <n v="4436.2543999999998"/>
    <n v="2749.0014999999999"/>
    <x v="0"/>
    <n v="2025"/>
    <x v="0"/>
    <x v="13"/>
    <n v="0.61966723549488056"/>
    <x v="13"/>
    <x v="13"/>
  </r>
  <r>
    <s v="ORD-10634"/>
    <x v="47"/>
    <s v="Michael Williams"/>
    <x v="4"/>
    <s v="Foam Roller"/>
    <x v="4"/>
    <n v="1"/>
    <n v="1728.8900999999998"/>
    <n v="0"/>
    <n v="1728.8900999999998"/>
    <n v="580.08190000000002"/>
    <x v="1"/>
    <n v="2025"/>
    <x v="6"/>
    <x v="20"/>
    <n v="0.33552271483305968"/>
    <x v="20"/>
    <x v="20"/>
  </r>
  <r>
    <s v="ORD-10635"/>
    <x v="415"/>
    <s v="Robert Brown"/>
    <x v="4"/>
    <s v="Face Moisturizer"/>
    <x v="1"/>
    <n v="2"/>
    <n v="4360.5504000000001"/>
    <n v="0"/>
    <n v="8721.1008000000002"/>
    <n v="3642.3087"/>
    <x v="0"/>
    <n v="2024"/>
    <x v="8"/>
    <x v="12"/>
    <n v="0.41764322916666669"/>
    <x v="12"/>
    <x v="12"/>
  </r>
  <r>
    <s v="ORD-10636"/>
    <x v="416"/>
    <s v="Paul Jackson"/>
    <x v="3"/>
    <s v="Jump Rope"/>
    <x v="4"/>
    <n v="2"/>
    <n v="2259.7644"/>
    <n v="0"/>
    <n v="4519.5288"/>
    <n v="969.01119999999992"/>
    <x v="0"/>
    <n v="2024"/>
    <x v="11"/>
    <x v="23"/>
    <n v="0.21440536013400333"/>
    <x v="23"/>
    <x v="23"/>
  </r>
  <r>
    <s v="ORD-10637"/>
    <x v="360"/>
    <s v="Ashley Martinez"/>
    <x v="3"/>
    <s v="Hair Oil"/>
    <x v="1"/>
    <n v="3"/>
    <n v="3859.0113999999999"/>
    <n v="0"/>
    <n v="11577.0342"/>
    <n v="6530.4162999999999"/>
    <x v="0"/>
    <n v="2024"/>
    <x v="6"/>
    <x v="6"/>
    <n v="0.56408370116069972"/>
    <x v="6"/>
    <x v="6"/>
  </r>
  <r>
    <s v="ORD-10638"/>
    <x v="410"/>
    <s v="Emily Brown"/>
    <x v="0"/>
    <s v="Nail Polish Set"/>
    <x v="1"/>
    <n v="5"/>
    <n v="1982.4984999999999"/>
    <n v="15"/>
    <n v="8425.8552"/>
    <n v="4865.8746000000001"/>
    <x v="0"/>
    <n v="2024"/>
    <x v="5"/>
    <x v="18"/>
    <n v="0.5774932614555256"/>
    <x v="18"/>
    <x v="18"/>
  </r>
  <r>
    <s v="ORD-10639"/>
    <x v="417"/>
    <s v="Susan Johnson"/>
    <x v="2"/>
    <s v="Blender"/>
    <x v="2"/>
    <n v="3"/>
    <n v="6235.1706999999997"/>
    <n v="15"/>
    <n v="15899.732599999999"/>
    <n v="4746.6407999999992"/>
    <x v="0"/>
    <n v="2024"/>
    <x v="10"/>
    <x v="17"/>
    <n v="0.29853588858469227"/>
    <x v="17"/>
    <x v="17"/>
  </r>
  <r>
    <s v="ORD-10640"/>
    <x v="208"/>
    <s v="Dorothy Lewis"/>
    <x v="0"/>
    <s v="Athletic Socks"/>
    <x v="3"/>
    <n v="1"/>
    <n v="1979.6596"/>
    <n v="5"/>
    <n v="1880.2981"/>
    <n v="1009.7021"/>
    <x v="0"/>
    <n v="2024"/>
    <x v="6"/>
    <x v="6"/>
    <n v="0.53699043784599898"/>
    <x v="6"/>
    <x v="6"/>
  </r>
  <r>
    <s v="ORD-10641"/>
    <x v="107"/>
    <s v="Joshua Perez"/>
    <x v="2"/>
    <s v="Pillow Set"/>
    <x v="2"/>
    <n v="2"/>
    <n v="4858.3042000000005"/>
    <n v="10"/>
    <n v="8744.7582999999995"/>
    <n v="3454.9412999999995"/>
    <x v="0"/>
    <n v="2024"/>
    <x v="3"/>
    <x v="3"/>
    <n v="0.39508711178443889"/>
    <x v="3"/>
    <x v="3"/>
  </r>
  <r>
    <s v="ORD-10642"/>
    <x v="321"/>
    <s v="Elizabeth Martin"/>
    <x v="3"/>
    <s v="Mouse Wireless"/>
    <x v="0"/>
    <n v="1"/>
    <n v="9743.1047999999992"/>
    <n v="10"/>
    <n v="8768.4157999999989"/>
    <n v="1998.5855999999999"/>
    <x v="1"/>
    <n v="2024"/>
    <x v="9"/>
    <x v="15"/>
    <n v="0.22793006691128859"/>
    <x v="15"/>
    <x v="15"/>
  </r>
  <r>
    <s v="ORD-10643"/>
    <x v="373"/>
    <s v="Joshua Johnson"/>
    <x v="2"/>
    <s v="Blender"/>
    <x v="2"/>
    <n v="1"/>
    <n v="3221.2051999999999"/>
    <n v="0"/>
    <n v="3221.2051999999999"/>
    <n v="708.77869999999996"/>
    <x v="0"/>
    <n v="2024"/>
    <x v="8"/>
    <x v="12"/>
    <n v="0.2200352526439483"/>
    <x v="12"/>
    <x v="12"/>
  </r>
  <r>
    <s v="ORD-10644"/>
    <x v="28"/>
    <s v="Robert Thompson"/>
    <x v="2"/>
    <s v="Laptop Stand"/>
    <x v="0"/>
    <n v="1"/>
    <n v="11261.916300000001"/>
    <n v="15"/>
    <n v="9572.7707999999984"/>
    <n v="1214.1028999999999"/>
    <x v="1"/>
    <n v="2024"/>
    <x v="10"/>
    <x v="17"/>
    <n v="0.12682878608145512"/>
    <x v="17"/>
    <x v="17"/>
  </r>
  <r>
    <s v="ORD-10645"/>
    <x v="350"/>
    <s v="Paul Rodriguez"/>
    <x v="1"/>
    <s v="Denim Jacket"/>
    <x v="3"/>
    <n v="2"/>
    <n v="4240.3702999999996"/>
    <n v="5"/>
    <n v="8056.7981999999993"/>
    <n v="3573.2287999999999"/>
    <x v="1"/>
    <n v="2025"/>
    <x v="10"/>
    <x v="21"/>
    <n v="0.44350481559783889"/>
    <x v="21"/>
    <x v="21"/>
  </r>
  <r>
    <s v="ORD-10646"/>
    <x v="379"/>
    <s v="Anthony Taylor"/>
    <x v="3"/>
    <s v="Portable Charger"/>
    <x v="0"/>
    <n v="2"/>
    <n v="2054.4173000000001"/>
    <n v="20"/>
    <n v="3287.4461999999999"/>
    <n v="559.26329999999996"/>
    <x v="0"/>
    <n v="2025"/>
    <x v="8"/>
    <x v="14"/>
    <n v="0.1701208981001727"/>
    <x v="14"/>
    <x v="14"/>
  </r>
  <r>
    <s v="ORD-10647"/>
    <x v="138"/>
    <s v="Andrew Wilson"/>
    <x v="4"/>
    <s v="Webcam HD"/>
    <x v="0"/>
    <n v="1"/>
    <n v="3586.4769999999999"/>
    <n v="0"/>
    <n v="3586.4769999999999"/>
    <n v="499.64639999999997"/>
    <x v="1"/>
    <n v="2025"/>
    <x v="0"/>
    <x v="13"/>
    <n v="0.13931398416886542"/>
    <x v="13"/>
    <x v="13"/>
  </r>
  <r>
    <s v="ORD-10648"/>
    <x v="151"/>
    <s v="Jennifer Harris"/>
    <x v="2"/>
    <s v="Resistance Bands"/>
    <x v="4"/>
    <n v="2"/>
    <n v="4262.1351999999997"/>
    <n v="0"/>
    <n v="8524.2703999999994"/>
    <n v="1401.4703"/>
    <x v="0"/>
    <n v="2024"/>
    <x v="8"/>
    <x v="12"/>
    <n v="0.1644094138543517"/>
    <x v="12"/>
    <x v="12"/>
  </r>
  <r>
    <s v="ORD-10649"/>
    <x v="418"/>
    <s v="Dorothy Ramirez"/>
    <x v="4"/>
    <s v="Coffee Maker"/>
    <x v="2"/>
    <n v="1"/>
    <n v="6612.7443999999996"/>
    <n v="5"/>
    <n v="6282.4857000000002"/>
    <n v="2283.4218999999998"/>
    <x v="1"/>
    <n v="2025"/>
    <x v="6"/>
    <x v="20"/>
    <n v="0.36345835216147004"/>
    <x v="20"/>
    <x v="20"/>
  </r>
  <r>
    <s v="ORD-10650"/>
    <x v="419"/>
    <s v="Christopher Clark"/>
    <x v="2"/>
    <s v="Wool Sweater"/>
    <x v="3"/>
    <n v="2"/>
    <n v="6965.7142999999996"/>
    <n v="10"/>
    <n v="12538.474999999999"/>
    <n v="6284.3782999999994"/>
    <x v="2"/>
    <n v="2024"/>
    <x v="6"/>
    <x v="6"/>
    <n v="0.50120754716981131"/>
    <x v="6"/>
    <x v="6"/>
  </r>
  <r>
    <s v="ORD-10651"/>
    <x v="420"/>
    <s v="Dorothy Thompson"/>
    <x v="2"/>
    <s v="Door Mat"/>
    <x v="2"/>
    <n v="4"/>
    <n v="1378.7591"/>
    <n v="10"/>
    <n v="4963.3434999999999"/>
    <n v="1036.1985"/>
    <x v="0"/>
    <n v="2025"/>
    <x v="4"/>
    <x v="16"/>
    <n v="0.20877025738798854"/>
    <x v="16"/>
    <x v="16"/>
  </r>
  <r>
    <s v="ORD-10652"/>
    <x v="355"/>
    <s v="Sandra Harris"/>
    <x v="4"/>
    <s v="Laptop Stand"/>
    <x v="0"/>
    <n v="1"/>
    <n v="4303.7723999999998"/>
    <n v="15"/>
    <n v="3658.3957999999993"/>
    <n v="795.8383"/>
    <x v="0"/>
    <n v="2025"/>
    <x v="5"/>
    <x v="5"/>
    <n v="0.21753750646663222"/>
    <x v="5"/>
    <x v="5"/>
  </r>
  <r>
    <s v="ORD-10653"/>
    <x v="331"/>
    <s v="Dorothy Jackson"/>
    <x v="3"/>
    <s v="Foam Roller"/>
    <x v="4"/>
    <n v="1"/>
    <n v="1496.1003000000001"/>
    <n v="0"/>
    <n v="1496.1003000000001"/>
    <n v="264.01769999999999"/>
    <x v="0"/>
    <n v="2024"/>
    <x v="8"/>
    <x v="12"/>
    <n v="0.1764705882352941"/>
    <x v="12"/>
    <x v="12"/>
  </r>
  <r>
    <s v="ORD-10654"/>
    <x v="202"/>
    <s v="Robert Thompson"/>
    <x v="4"/>
    <s v="Foam Roller"/>
    <x v="4"/>
    <n v="1"/>
    <n v="3319.6203999999998"/>
    <n v="0"/>
    <n v="3319.6203999999998"/>
    <n v="902.77019999999993"/>
    <x v="1"/>
    <n v="2025"/>
    <x v="3"/>
    <x v="7"/>
    <n v="0.27194982896237174"/>
    <x v="7"/>
    <x v="7"/>
  </r>
  <r>
    <s v="ORD-10655"/>
    <x v="349"/>
    <s v="Joshua Davis"/>
    <x v="2"/>
    <s v="Blender"/>
    <x v="2"/>
    <n v="2"/>
    <n v="5938.9787999999999"/>
    <n v="0"/>
    <n v="11877.9576"/>
    <n v="2971.3819999999996"/>
    <x v="0"/>
    <n v="2025"/>
    <x v="7"/>
    <x v="8"/>
    <n v="0.25015933715742511"/>
    <x v="8"/>
    <x v="8"/>
  </r>
  <r>
    <s v="ORD-10656"/>
    <x v="131"/>
    <s v="Matthew Harris"/>
    <x v="1"/>
    <s v="Nail Polish Set"/>
    <x v="1"/>
    <n v="1"/>
    <n v="1841.4998000000001"/>
    <n v="0"/>
    <n v="1841.4998000000001"/>
    <n v="974.68899999999996"/>
    <x v="0"/>
    <n v="2025"/>
    <x v="0"/>
    <x v="13"/>
    <n v="0.52929085303186019"/>
    <x v="13"/>
    <x v="13"/>
  </r>
  <r>
    <s v="ORD-10657"/>
    <x v="421"/>
    <s v="Paul Lee"/>
    <x v="3"/>
    <s v="Athletic Socks"/>
    <x v="3"/>
    <n v="2"/>
    <n v="5030.5307999999995"/>
    <n v="10"/>
    <n v="9055.1446999999989"/>
    <n v="4956.7194"/>
    <x v="1"/>
    <n v="2025"/>
    <x v="8"/>
    <x v="14"/>
    <n v="0.54739262200856942"/>
    <x v="14"/>
    <x v="14"/>
  </r>
  <r>
    <s v="ORD-10658"/>
    <x v="422"/>
    <s v="Karen Clark"/>
    <x v="4"/>
    <s v="Jump Rope"/>
    <x v="4"/>
    <n v="1"/>
    <n v="4419.2210000000005"/>
    <n v="15"/>
    <n v="3756.8110000000001"/>
    <n v="1254.7937999999999"/>
    <x v="1"/>
    <n v="2024"/>
    <x v="2"/>
    <x v="2"/>
    <n v="0.33400503778337526"/>
    <x v="2"/>
    <x v="2"/>
  </r>
  <r>
    <s v="ORD-10659"/>
    <x v="314"/>
    <s v="Daniel Sanchez"/>
    <x v="2"/>
    <s v="Resistance Bands"/>
    <x v="4"/>
    <n v="5"/>
    <n v="1623.8507999999999"/>
    <n v="0"/>
    <n v="8119.253999999999"/>
    <n v="2166.0807"/>
    <x v="0"/>
    <n v="2024"/>
    <x v="2"/>
    <x v="2"/>
    <n v="0.26678321678321681"/>
    <x v="2"/>
    <x v="2"/>
  </r>
  <r>
    <s v="ORD-10660"/>
    <x v="10"/>
    <s v="Susan Jones"/>
    <x v="3"/>
    <s v="Throw Blanket"/>
    <x v="2"/>
    <n v="4"/>
    <n v="6967.6068999999989"/>
    <n v="20"/>
    <n v="22296.720600000001"/>
    <n v="8278.2324000000008"/>
    <x v="0"/>
    <n v="2025"/>
    <x v="3"/>
    <x v="7"/>
    <n v="0.37127578304048897"/>
    <x v="7"/>
    <x v="7"/>
  </r>
  <r>
    <s v="ORD-10661"/>
    <x v="147"/>
    <s v="Dorothy Martinez"/>
    <x v="4"/>
    <s v="Swim Goggles"/>
    <x v="4"/>
    <n v="4"/>
    <n v="5069.3290999999999"/>
    <n v="15"/>
    <n v="17235.908199999998"/>
    <n v="4007.5805"/>
    <x v="1"/>
    <n v="2024"/>
    <x v="10"/>
    <x v="17"/>
    <n v="0.23251345119139127"/>
    <x v="17"/>
    <x v="17"/>
  </r>
  <r>
    <s v="ORD-10662"/>
    <x v="236"/>
    <s v="William Thompson"/>
    <x v="1"/>
    <s v="Perfume Travel"/>
    <x v="1"/>
    <n v="2"/>
    <n v="3012.0728999999997"/>
    <n v="0"/>
    <n v="6024.1457999999993"/>
    <n v="3523.0748999999996"/>
    <x v="0"/>
    <n v="2025"/>
    <x v="6"/>
    <x v="20"/>
    <n v="0.58482563619227146"/>
    <x v="20"/>
    <x v="20"/>
  </r>
  <r>
    <s v="ORD-10663"/>
    <x v="42"/>
    <s v="David Harris"/>
    <x v="3"/>
    <s v="Athletic Socks"/>
    <x v="3"/>
    <n v="2"/>
    <n v="7858.0752000000002"/>
    <n v="20"/>
    <n v="12572.541800000001"/>
    <n v="6074.2996999999996"/>
    <x v="1"/>
    <n v="2024"/>
    <x v="2"/>
    <x v="2"/>
    <n v="0.4831401475237091"/>
    <x v="2"/>
    <x v="2"/>
  </r>
  <r>
    <s v="ORD-10664"/>
    <x v="423"/>
    <s v="Linda Robinson"/>
    <x v="2"/>
    <s v="Keyboard Mechanical"/>
    <x v="0"/>
    <n v="1"/>
    <n v="3365.0428000000002"/>
    <n v="5"/>
    <n v="3196.6014"/>
    <n v="692.69159999999999"/>
    <x v="0"/>
    <n v="2025"/>
    <x v="10"/>
    <x v="21"/>
    <n v="0.21669626998223801"/>
    <x v="21"/>
    <x v="21"/>
  </r>
  <r>
    <s v="ORD-10665"/>
    <x v="126"/>
    <s v="Joseph Clark"/>
    <x v="2"/>
    <s v="Eye Cream"/>
    <x v="1"/>
    <n v="1"/>
    <n v="4031.2379999999998"/>
    <n v="10"/>
    <n v="3628.1142"/>
    <n v="1947.4853999999998"/>
    <x v="0"/>
    <n v="2024"/>
    <x v="2"/>
    <x v="2"/>
    <n v="0.53677621283255084"/>
    <x v="2"/>
    <x v="2"/>
  </r>
  <r>
    <s v="ORD-10666"/>
    <x v="424"/>
    <s v="Christopher Martin"/>
    <x v="2"/>
    <s v="Perfume Travel"/>
    <x v="1"/>
    <n v="2"/>
    <n v="2858.7723000000001"/>
    <n v="0"/>
    <n v="5717.5446000000002"/>
    <n v="2847.4166999999998"/>
    <x v="0"/>
    <n v="2025"/>
    <x v="10"/>
    <x v="21"/>
    <n v="0.4980139026812313"/>
    <x v="21"/>
    <x v="21"/>
  </r>
  <r>
    <s v="ORD-10667"/>
    <x v="336"/>
    <s v="Sandra Anderson"/>
    <x v="1"/>
    <s v="Running Shoes"/>
    <x v="3"/>
    <n v="1"/>
    <n v="1596.4081000000001"/>
    <n v="5"/>
    <n v="1516.9189000000001"/>
    <n v="731.48990000000003"/>
    <x v="1"/>
    <n v="2025"/>
    <x v="7"/>
    <x v="8"/>
    <n v="0.48222083593262632"/>
    <x v="8"/>
    <x v="8"/>
  </r>
  <r>
    <s v="ORD-10668"/>
    <x v="46"/>
    <s v="Ashley Wilson"/>
    <x v="3"/>
    <s v="Body Lotion"/>
    <x v="1"/>
    <n v="2"/>
    <n v="4335.0002999999997"/>
    <n v="15"/>
    <n v="7369.7843999999996"/>
    <n v="3850.4946999999997"/>
    <x v="0"/>
    <n v="2025"/>
    <x v="10"/>
    <x v="21"/>
    <n v="0.52247046738572167"/>
    <x v="21"/>
    <x v="21"/>
  </r>
  <r>
    <s v="ORD-10669"/>
    <x v="173"/>
    <s v="Lisa Lopez"/>
    <x v="1"/>
    <s v="Body Lotion"/>
    <x v="1"/>
    <n v="2"/>
    <n v="4478.8378999999995"/>
    <n v="15"/>
    <n v="7613.929799999999"/>
    <n v="3103.8639999999996"/>
    <x v="2"/>
    <n v="2025"/>
    <x v="5"/>
    <x v="5"/>
    <n v="0.40765597812577681"/>
    <x v="5"/>
    <x v="5"/>
  </r>
  <r>
    <s v="ORD-10670"/>
    <x v="98"/>
    <s v="Richard Martin"/>
    <x v="1"/>
    <s v="Face Mask Pack"/>
    <x v="1"/>
    <n v="3"/>
    <n v="1506.5095999999999"/>
    <n v="5"/>
    <n v="4293.3630999999996"/>
    <n v="2696.9549999999999"/>
    <x v="1"/>
    <n v="2024"/>
    <x v="2"/>
    <x v="2"/>
    <n v="0.62816839321137319"/>
    <x v="2"/>
    <x v="2"/>
  </r>
  <r>
    <s v="ORD-10671"/>
    <x v="360"/>
    <s v="Michelle Thompson"/>
    <x v="0"/>
    <s v="Running Shoes"/>
    <x v="3"/>
    <n v="2"/>
    <n v="4198.7330999999995"/>
    <n v="25"/>
    <n v="6297.6264999999994"/>
    <n v="1919.0963999999999"/>
    <x v="0"/>
    <n v="2024"/>
    <x v="6"/>
    <x v="6"/>
    <n v="0.30473328324567994"/>
    <x v="6"/>
    <x v="6"/>
  </r>
  <r>
    <s v="ORD-10672"/>
    <x v="287"/>
    <s v="Barbara Hernandez"/>
    <x v="0"/>
    <s v="Foam Roller"/>
    <x v="4"/>
    <n v="2"/>
    <n v="1080.6746000000001"/>
    <n v="0"/>
    <n v="2161.3492000000001"/>
    <n v="641.59140000000002"/>
    <x v="1"/>
    <n v="2025"/>
    <x v="2"/>
    <x v="9"/>
    <n v="0.29684763572679507"/>
    <x v="9"/>
    <x v="9"/>
  </r>
  <r>
    <s v="ORD-10673"/>
    <x v="39"/>
    <s v="Lisa Ramirez"/>
    <x v="2"/>
    <s v="Cargo Shorts"/>
    <x v="3"/>
    <n v="2"/>
    <n v="1863.2646999999999"/>
    <n v="5"/>
    <n v="3540.1082999999994"/>
    <n v="1835.8219999999999"/>
    <x v="0"/>
    <n v="2025"/>
    <x v="2"/>
    <x v="9"/>
    <n v="0.51857792034215455"/>
    <x v="9"/>
    <x v="9"/>
  </r>
  <r>
    <s v="ORD-10674"/>
    <x v="425"/>
    <s v="Donna Miller"/>
    <x v="0"/>
    <s v="Scented Candle Set"/>
    <x v="2"/>
    <n v="4"/>
    <n v="965.22599999999989"/>
    <n v="20"/>
    <n v="3088.7231999999999"/>
    <n v="944.40739999999994"/>
    <x v="0"/>
    <n v="2024"/>
    <x v="2"/>
    <x v="2"/>
    <n v="0.3057598039215686"/>
    <x v="2"/>
    <x v="2"/>
  </r>
  <r>
    <s v="ORD-10675"/>
    <x v="227"/>
    <s v="Dorothy Garcia"/>
    <x v="2"/>
    <s v="Pillow Set"/>
    <x v="2"/>
    <n v="2"/>
    <n v="3230.6682000000001"/>
    <n v="10"/>
    <n v="5815.0135"/>
    <n v="1717.5344999999998"/>
    <x v="0"/>
    <n v="2025"/>
    <x v="2"/>
    <x v="9"/>
    <n v="0.29536208299430428"/>
    <x v="9"/>
    <x v="9"/>
  </r>
  <r>
    <s v="ORD-10676"/>
    <x v="426"/>
    <s v="Donna Garcia"/>
    <x v="2"/>
    <s v="Shampoo Organic"/>
    <x v="1"/>
    <n v="1"/>
    <n v="1175.3045999999999"/>
    <n v="0"/>
    <n v="1175.3045999999999"/>
    <n v="571.5652"/>
    <x v="0"/>
    <n v="2025"/>
    <x v="11"/>
    <x v="19"/>
    <n v="0.48631239935587767"/>
    <x v="19"/>
    <x v="19"/>
  </r>
  <r>
    <s v="ORD-10677"/>
    <x v="427"/>
    <s v="David Brown"/>
    <x v="1"/>
    <s v="Running Shoes"/>
    <x v="3"/>
    <n v="1"/>
    <n v="5975.8844999999992"/>
    <n v="25"/>
    <n v="4481.6768000000002"/>
    <n v="2366.6963000000001"/>
    <x v="1"/>
    <n v="2024"/>
    <x v="7"/>
    <x v="10"/>
    <n v="0.52808277027027029"/>
    <x v="10"/>
    <x v="10"/>
  </r>
  <r>
    <s v="ORD-10678"/>
    <x v="428"/>
    <s v="Elizabeth Martin"/>
    <x v="2"/>
    <s v="Wool Sweater"/>
    <x v="3"/>
    <n v="1"/>
    <n v="8375.7013000000006"/>
    <n v="5"/>
    <n v="7956.4903999999997"/>
    <n v="3589.3158999999996"/>
    <x v="2"/>
    <n v="2024"/>
    <x v="0"/>
    <x v="0"/>
    <n v="0.45111798287345384"/>
    <x v="0"/>
    <x v="0"/>
  </r>
  <r>
    <s v="ORD-10679"/>
    <x v="407"/>
    <s v="Sarah Johnson"/>
    <x v="0"/>
    <s v="Wireless Headphones"/>
    <x v="0"/>
    <n v="1"/>
    <n v="2326.9517000000001"/>
    <n v="0"/>
    <n v="2326.9517000000001"/>
    <n v="385.14409999999998"/>
    <x v="2"/>
    <n v="2024"/>
    <x v="9"/>
    <x v="15"/>
    <n v="0.16551443676291175"/>
    <x v="15"/>
    <x v="15"/>
  </r>
  <r>
    <s v="ORD-10680"/>
    <x v="429"/>
    <s v="Dorothy Martin"/>
    <x v="1"/>
    <s v="Body Lotion"/>
    <x v="1"/>
    <n v="1"/>
    <n v="4515.7435999999998"/>
    <n v="15"/>
    <n v="3838.1927999999998"/>
    <n v="1727.9438"/>
    <x v="0"/>
    <n v="2024"/>
    <x v="6"/>
    <x v="6"/>
    <n v="0.45019723865877714"/>
    <x v="6"/>
    <x v="6"/>
  </r>
  <r>
    <s v="ORD-10681"/>
    <x v="303"/>
    <s v="Mary Davis"/>
    <x v="4"/>
    <s v="Pillow Set"/>
    <x v="2"/>
    <n v="2"/>
    <n v="7262.8525"/>
    <n v="0"/>
    <n v="14525.705"/>
    <n v="5274.6761999999999"/>
    <x v="1"/>
    <n v="2024"/>
    <x v="4"/>
    <x v="4"/>
    <n v="0.36312703583061889"/>
    <x v="4"/>
    <x v="4"/>
  </r>
  <r>
    <s v="ORD-10682"/>
    <x v="430"/>
    <s v="Lisa Miller"/>
    <x v="4"/>
    <s v="Wool Sweater"/>
    <x v="3"/>
    <n v="1"/>
    <n v="8207.2598999999991"/>
    <n v="15"/>
    <n v="6976.1235999999999"/>
    <n v="2619.3584000000001"/>
    <x v="1"/>
    <n v="2025"/>
    <x v="11"/>
    <x v="19"/>
    <n v="0.37547476939772112"/>
    <x v="19"/>
    <x v="19"/>
  </r>
  <r>
    <s v="ORD-10683"/>
    <x v="105"/>
    <s v="Mark Lewis"/>
    <x v="0"/>
    <s v="Body Lotion"/>
    <x v="1"/>
    <n v="2"/>
    <n v="4264.0277999999998"/>
    <n v="0"/>
    <n v="8528.0555999999997"/>
    <n v="4684.1849999999995"/>
    <x v="0"/>
    <n v="2024"/>
    <x v="2"/>
    <x v="2"/>
    <n v="0.54926764314247667"/>
    <x v="2"/>
    <x v="2"/>
  </r>
  <r>
    <s v="ORD-10684"/>
    <x v="431"/>
    <s v="Lisa Anderson"/>
    <x v="0"/>
    <s v="Mouse Wireless"/>
    <x v="0"/>
    <n v="1"/>
    <n v="6673.3075999999992"/>
    <n v="20"/>
    <n v="5339.0245999999997"/>
    <n v="1060.8023000000001"/>
    <x v="1"/>
    <n v="2025"/>
    <x v="10"/>
    <x v="21"/>
    <n v="0.19868840836582774"/>
    <x v="21"/>
    <x v="21"/>
  </r>
  <r>
    <s v="ORD-10685"/>
    <x v="432"/>
    <s v="Kimberly Clark"/>
    <x v="3"/>
    <s v="Lip Balm Set"/>
    <x v="1"/>
    <n v="1"/>
    <n v="1813.1107999999999"/>
    <n v="10"/>
    <n v="1631.4211999999998"/>
    <n v="1059.856"/>
    <x v="0"/>
    <n v="2025"/>
    <x v="10"/>
    <x v="21"/>
    <n v="0.64965197215777271"/>
    <x v="21"/>
    <x v="21"/>
  </r>
  <r>
    <s v="ORD-10686"/>
    <x v="204"/>
    <s v="Linda Clark"/>
    <x v="1"/>
    <s v="Webcam HD"/>
    <x v="0"/>
    <n v="2"/>
    <n v="2571.0971"/>
    <n v="5"/>
    <n v="4884.8005999999996"/>
    <n v="720.13429999999994"/>
    <x v="0"/>
    <n v="2024"/>
    <x v="11"/>
    <x v="23"/>
    <n v="0.14742347927160016"/>
    <x v="23"/>
    <x v="23"/>
  </r>
  <r>
    <s v="ORD-10687"/>
    <x v="433"/>
    <s v="Andrew Perez"/>
    <x v="2"/>
    <s v="Nail Polish Set"/>
    <x v="1"/>
    <n v="1"/>
    <n v="3349.9019999999996"/>
    <n v="0"/>
    <n v="3349.9019999999996"/>
    <n v="1435.5371"/>
    <x v="0"/>
    <n v="2024"/>
    <x v="10"/>
    <x v="17"/>
    <n v="0.42853107344632774"/>
    <x v="17"/>
    <x v="17"/>
  </r>
  <r>
    <s v="ORD-10688"/>
    <x v="434"/>
    <s v="Joseph Lewis"/>
    <x v="0"/>
    <s v="Foam Roller"/>
    <x v="4"/>
    <n v="1"/>
    <n v="1524.4893"/>
    <n v="10"/>
    <n v="1372.135"/>
    <n v="262.12509999999997"/>
    <x v="1"/>
    <n v="2024"/>
    <x v="5"/>
    <x v="18"/>
    <n v="0.19103448275862067"/>
    <x v="18"/>
    <x v="18"/>
  </r>
  <r>
    <s v="ORD-10689"/>
    <x v="435"/>
    <s v="Paul Hernandez"/>
    <x v="2"/>
    <s v="Cargo Shorts"/>
    <x v="3"/>
    <n v="1"/>
    <n v="5218.8444999999992"/>
    <n v="20"/>
    <n v="4175.0755999999992"/>
    <n v="1521.6503999999998"/>
    <x v="0"/>
    <n v="2025"/>
    <x v="5"/>
    <x v="5"/>
    <n v="0.36446056210335448"/>
    <x v="5"/>
    <x v="5"/>
  </r>
  <r>
    <s v="ORD-10690"/>
    <x v="4"/>
    <s v="Michael Miller"/>
    <x v="0"/>
    <s v="Lip Balm Set"/>
    <x v="1"/>
    <n v="3"/>
    <n v="4211.0349999999999"/>
    <n v="20"/>
    <n v="10106.483999999999"/>
    <n v="6463.2289999999994"/>
    <x v="2"/>
    <n v="2024"/>
    <x v="4"/>
    <x v="4"/>
    <n v="0.63951310861423227"/>
    <x v="4"/>
    <x v="4"/>
  </r>
  <r>
    <s v="ORD-10691"/>
    <x v="436"/>
    <s v="Richard Jones"/>
    <x v="1"/>
    <s v="USB-C Hub"/>
    <x v="0"/>
    <n v="2"/>
    <n v="12683.258899999999"/>
    <n v="15"/>
    <n v="21561.445499999998"/>
    <n v="2196.3622999999998"/>
    <x v="0"/>
    <n v="2025"/>
    <x v="9"/>
    <x v="22"/>
    <n v="0.10186526223392582"/>
    <x v="22"/>
    <x v="22"/>
  </r>
  <r>
    <s v="ORD-10692"/>
    <x v="89"/>
    <s v="Anthony Moore"/>
    <x v="0"/>
    <s v="Dumbbells 10lb"/>
    <x v="4"/>
    <n v="1"/>
    <n v="4813.8280999999997"/>
    <n v="10"/>
    <n v="4332.1614"/>
    <n v="983.20569999999998"/>
    <x v="0"/>
    <n v="2024"/>
    <x v="1"/>
    <x v="11"/>
    <n v="0.22695500218435999"/>
    <x v="11"/>
    <x v="11"/>
  </r>
  <r>
    <s v="ORD-10693"/>
    <x v="437"/>
    <s v="Betty Taylor"/>
    <x v="3"/>
    <s v="Eye Cream"/>
    <x v="1"/>
    <n v="4"/>
    <n v="1509.3484999999998"/>
    <n v="25"/>
    <n v="4528.0455000000002"/>
    <n v="2581.5063999999998"/>
    <x v="1"/>
    <n v="2025"/>
    <x v="9"/>
    <x v="22"/>
    <n v="0.57011494252873551"/>
    <x v="22"/>
    <x v="22"/>
  </r>
  <r>
    <s v="ORD-10694"/>
    <x v="438"/>
    <s v="Joseph White"/>
    <x v="1"/>
    <s v="Sunscreen SPF50"/>
    <x v="1"/>
    <n v="3"/>
    <n v="2978.0060999999996"/>
    <n v="20"/>
    <n v="7147.4038999999993"/>
    <n v="3349.9019999999996"/>
    <x v="0"/>
    <n v="2024"/>
    <x v="0"/>
    <x v="0"/>
    <n v="0.46868793856745661"/>
    <x v="0"/>
    <x v="0"/>
  </r>
  <r>
    <s v="ORD-10695"/>
    <x v="59"/>
    <s v="Joshua White"/>
    <x v="2"/>
    <s v="Jump Rope"/>
    <x v="4"/>
    <n v="2"/>
    <n v="5550.0494999999992"/>
    <n v="20"/>
    <n v="8880.0792000000001"/>
    <n v="2328.8442999999997"/>
    <x v="0"/>
    <n v="2025"/>
    <x v="9"/>
    <x v="22"/>
    <n v="0.26225490196078427"/>
    <x v="22"/>
    <x v="22"/>
  </r>
  <r>
    <s v="ORD-10696"/>
    <x v="439"/>
    <s v="Kenneth Thompson"/>
    <x v="2"/>
    <s v="Running Shoes"/>
    <x v="3"/>
    <n v="2"/>
    <n v="5677.7999999999993"/>
    <n v="0"/>
    <n v="11355.599999999999"/>
    <n v="5972.0992999999999"/>
    <x v="2"/>
    <n v="2024"/>
    <x v="11"/>
    <x v="23"/>
    <n v="0.5259166666666667"/>
    <x v="23"/>
    <x v="23"/>
  </r>
  <r>
    <s v="ORD-10697"/>
    <x v="440"/>
    <s v="Andrew Lewis"/>
    <x v="0"/>
    <s v="Water Bottle"/>
    <x v="4"/>
    <n v="2"/>
    <n v="4729.6073999999999"/>
    <n v="10"/>
    <n v="8512.9147999999986"/>
    <n v="1832.0367999999999"/>
    <x v="1"/>
    <n v="2024"/>
    <x v="1"/>
    <x v="11"/>
    <n v="0.21520675855935972"/>
    <x v="11"/>
    <x v="11"/>
  </r>
  <r>
    <s v="ORD-10698"/>
    <x v="110"/>
    <s v="Andrew Wilson"/>
    <x v="1"/>
    <s v="Lip Balm Set"/>
    <x v="1"/>
    <n v="1"/>
    <n v="898.9849999999999"/>
    <n v="0"/>
    <n v="898.9849999999999"/>
    <n v="379.46629999999999"/>
    <x v="0"/>
    <n v="2025"/>
    <x v="10"/>
    <x v="21"/>
    <n v="0.42210526315789476"/>
    <x v="21"/>
    <x v="21"/>
  </r>
  <r>
    <s v="ORD-10699"/>
    <x v="113"/>
    <s v="Robert Lewis"/>
    <x v="4"/>
    <s v="Resistance Bands"/>
    <x v="4"/>
    <n v="1"/>
    <n v="4062.4658999999997"/>
    <n v="15"/>
    <n v="3453.0486999999998"/>
    <n v="657.67849999999999"/>
    <x v="1"/>
    <n v="2025"/>
    <x v="11"/>
    <x v="19"/>
    <n v="0.19046314058646205"/>
    <x v="19"/>
    <x v="19"/>
  </r>
  <r>
    <s v="ORD-10700"/>
    <x v="441"/>
    <s v="James Sanchez"/>
    <x v="1"/>
    <s v="Polo Shirt"/>
    <x v="3"/>
    <n v="1"/>
    <n v="6906.0973999999997"/>
    <n v="10"/>
    <n v="6215.2984000000006"/>
    <n v="2625.9825000000001"/>
    <x v="0"/>
    <n v="2025"/>
    <x v="6"/>
    <x v="20"/>
    <n v="0.42250304506699143"/>
    <x v="20"/>
    <x v="20"/>
  </r>
  <r>
    <s v="ORD-10701"/>
    <x v="428"/>
    <s v="Steven Thompson"/>
    <x v="0"/>
    <s v="Scented Candle Set"/>
    <x v="2"/>
    <n v="2"/>
    <n v="5991.9715999999999"/>
    <n v="5"/>
    <n v="11384.935299999999"/>
    <n v="3010.1802999999995"/>
    <x v="1"/>
    <n v="2024"/>
    <x v="0"/>
    <x v="0"/>
    <n v="0.26440029922699693"/>
    <x v="0"/>
    <x v="0"/>
  </r>
  <r>
    <s v="ORD-10702"/>
    <x v="78"/>
    <s v="Kenneth Harris"/>
    <x v="4"/>
    <s v="Body Lotion"/>
    <x v="1"/>
    <n v="2"/>
    <n v="3528.7526999999995"/>
    <n v="5"/>
    <n v="6704.535499999999"/>
    <n v="3559.0342999999998"/>
    <x v="0"/>
    <n v="2025"/>
    <x v="2"/>
    <x v="9"/>
    <n v="0.53083980239943551"/>
    <x v="9"/>
    <x v="9"/>
  </r>
  <r>
    <s v="ORD-10703"/>
    <x v="442"/>
    <s v="Andrew Smith"/>
    <x v="1"/>
    <s v="Blender"/>
    <x v="2"/>
    <n v="1"/>
    <n v="6408.3435999999992"/>
    <n v="5"/>
    <n v="6087.5478999999996"/>
    <n v="2112.1415999999999"/>
    <x v="0"/>
    <n v="2024"/>
    <x v="0"/>
    <x v="0"/>
    <n v="0.34696098243432305"/>
    <x v="0"/>
    <x v="0"/>
  </r>
  <r>
    <s v="ORD-10704"/>
    <x v="170"/>
    <s v="Kimberly Jackson"/>
    <x v="2"/>
    <s v="Rain Jacket"/>
    <x v="3"/>
    <n v="2"/>
    <n v="6235.1706999999997"/>
    <n v="25"/>
    <n v="9353.2291999999998"/>
    <n v="4743.8019000000004"/>
    <x v="0"/>
    <n v="2024"/>
    <x v="3"/>
    <x v="3"/>
    <n v="0.5071833265884258"/>
    <x v="3"/>
    <x v="3"/>
  </r>
  <r>
    <s v="ORD-10705"/>
    <x v="443"/>
    <s v="Donna Hernandez"/>
    <x v="2"/>
    <s v="Tablet Case"/>
    <x v="0"/>
    <n v="1"/>
    <n v="10998.8449"/>
    <n v="0"/>
    <n v="10998.8449"/>
    <n v="2445.2392"/>
    <x v="2"/>
    <n v="2024"/>
    <x v="11"/>
    <x v="23"/>
    <n v="0.22231781811924631"/>
    <x v="23"/>
    <x v="23"/>
  </r>
  <r>
    <s v="ORD-10706"/>
    <x v="48"/>
    <s v="Nancy White"/>
    <x v="0"/>
    <s v="Mouse Wireless"/>
    <x v="0"/>
    <n v="4"/>
    <n v="7219.3227000000006"/>
    <n v="0"/>
    <n v="28877.290800000002"/>
    <n v="3030.9989"/>
    <x v="1"/>
    <n v="2024"/>
    <x v="0"/>
    <x v="0"/>
    <n v="0.10496133176038798"/>
    <x v="0"/>
    <x v="0"/>
  </r>
  <r>
    <s v="ORD-10707"/>
    <x v="444"/>
    <s v="Kevin Rodriguez"/>
    <x v="1"/>
    <s v="Rain Jacket"/>
    <x v="3"/>
    <n v="5"/>
    <n v="4481.6768000000002"/>
    <n v="10"/>
    <n v="20167.545599999998"/>
    <n v="11011.146799999999"/>
    <x v="0"/>
    <n v="2025"/>
    <x v="6"/>
    <x v="20"/>
    <n v="0.54598348348348347"/>
    <x v="20"/>
    <x v="20"/>
  </r>
  <r>
    <s v="ORD-10708"/>
    <x v="445"/>
    <s v="Paul Taylor"/>
    <x v="1"/>
    <s v="Athletic Socks"/>
    <x v="3"/>
    <n v="1"/>
    <n v="5582.2236999999996"/>
    <n v="15"/>
    <n v="4744.7482"/>
    <n v="1775.2588000000001"/>
    <x v="1"/>
    <n v="2025"/>
    <x v="3"/>
    <x v="7"/>
    <n v="0.3741523733546071"/>
    <x v="7"/>
    <x v="7"/>
  </r>
  <r>
    <s v="ORD-10709"/>
    <x v="100"/>
    <s v="Michael Harris"/>
    <x v="1"/>
    <s v="Swim Goggles"/>
    <x v="4"/>
    <n v="2"/>
    <n v="5166.7979999999998"/>
    <n v="10"/>
    <n v="9300.2363999999998"/>
    <n v="3131.3067000000001"/>
    <x v="2"/>
    <n v="2025"/>
    <x v="2"/>
    <x v="9"/>
    <n v="0.33669108669108672"/>
    <x v="9"/>
    <x v="9"/>
  </r>
  <r>
    <s v="ORD-10710"/>
    <x v="1"/>
    <s v="Joshua Lee"/>
    <x v="0"/>
    <s v="Water Bottle"/>
    <x v="4"/>
    <n v="3"/>
    <n v="4296.2019999999993"/>
    <n v="0"/>
    <n v="12888.605999999998"/>
    <n v="2056.3098999999997"/>
    <x v="1"/>
    <n v="2025"/>
    <x v="1"/>
    <x v="1"/>
    <n v="0.15954478707782674"/>
    <x v="1"/>
    <x v="1"/>
  </r>
  <r>
    <s v="ORD-10711"/>
    <x v="446"/>
    <s v="Sandra Hernandez"/>
    <x v="3"/>
    <s v="Tablet Case"/>
    <x v="0"/>
    <n v="1"/>
    <n v="2409.2797999999998"/>
    <n v="20"/>
    <n v="1927.6131"/>
    <n v="396.49970000000002"/>
    <x v="0"/>
    <n v="2025"/>
    <x v="7"/>
    <x v="8"/>
    <n v="0.20569464899361808"/>
    <x v="8"/>
    <x v="8"/>
  </r>
  <r>
    <s v="ORD-10712"/>
    <x v="442"/>
    <s v="Karen Taylor"/>
    <x v="1"/>
    <s v="Foam Roller"/>
    <x v="4"/>
    <n v="2"/>
    <n v="3594.0473999999995"/>
    <n v="10"/>
    <n v="6468.9067999999997"/>
    <n v="1792.2922000000001"/>
    <x v="0"/>
    <n v="2024"/>
    <x v="0"/>
    <x v="0"/>
    <n v="0.27706260971328267"/>
    <x v="0"/>
    <x v="0"/>
  </r>
  <r>
    <s v="ORD-10713"/>
    <x v="447"/>
    <s v="Donald Johnson"/>
    <x v="4"/>
    <s v="Cycling Gloves"/>
    <x v="4"/>
    <n v="2"/>
    <n v="1870.8350999999998"/>
    <n v="20"/>
    <n v="2993.1468999999997"/>
    <n v="1044.7151999999999"/>
    <x v="2"/>
    <n v="2024"/>
    <x v="11"/>
    <x v="23"/>
    <n v="0.34903572557698387"/>
    <x v="23"/>
    <x v="23"/>
  </r>
  <r>
    <s v="ORD-10714"/>
    <x v="44"/>
    <s v="Linda Davis"/>
    <x v="4"/>
    <s v="Foam Roller"/>
    <x v="4"/>
    <n v="1"/>
    <n v="1560.4486999999997"/>
    <n v="0"/>
    <n v="1560.4486999999997"/>
    <n v="250.76949999999999"/>
    <x v="1"/>
    <n v="2025"/>
    <x v="6"/>
    <x v="20"/>
    <n v="0.16070345664038815"/>
    <x v="20"/>
    <x v="20"/>
  </r>
  <r>
    <s v="ORD-10715"/>
    <x v="448"/>
    <s v="Lisa Smith"/>
    <x v="3"/>
    <s v="Portable Charger"/>
    <x v="0"/>
    <n v="2"/>
    <n v="13198.0461"/>
    <n v="15"/>
    <n v="22436.772999999997"/>
    <n v="1870.8350999999998"/>
    <x v="0"/>
    <n v="2025"/>
    <x v="6"/>
    <x v="20"/>
    <n v="8.3382539013074658E-2"/>
    <x v="20"/>
    <x v="20"/>
  </r>
  <r>
    <s v="ORD-10716"/>
    <x v="48"/>
    <s v="Kimberly Harris"/>
    <x v="2"/>
    <s v="Running Shoes"/>
    <x v="3"/>
    <n v="3"/>
    <n v="2604.2175999999999"/>
    <n v="10"/>
    <n v="7031.0089999999991"/>
    <n v="2484.0374999999999"/>
    <x v="1"/>
    <n v="2024"/>
    <x v="0"/>
    <x v="0"/>
    <n v="0.35329744279946168"/>
    <x v="0"/>
    <x v="0"/>
  </r>
  <r>
    <s v="ORD-10717"/>
    <x v="449"/>
    <s v="Richard Ramirez"/>
    <x v="0"/>
    <s v="Keyboard Mechanical"/>
    <x v="0"/>
    <n v="1"/>
    <n v="7380.1936999999989"/>
    <n v="5"/>
    <n v="7011.1367"/>
    <n v="1113.7950999999998"/>
    <x v="0"/>
    <n v="2024"/>
    <x v="5"/>
    <x v="18"/>
    <n v="0.15886084491834254"/>
    <x v="18"/>
    <x v="18"/>
  </r>
  <r>
    <s v="ORD-10718"/>
    <x v="450"/>
    <s v="Mary Anderson"/>
    <x v="2"/>
    <s v="Nail Polish Set"/>
    <x v="1"/>
    <n v="3"/>
    <n v="2953.4022999999997"/>
    <n v="10"/>
    <n v="7974.4700999999995"/>
    <n v="5145.0330999999996"/>
    <x v="0"/>
    <n v="2025"/>
    <x v="2"/>
    <x v="9"/>
    <n v="0.64518808591432297"/>
    <x v="9"/>
    <x v="9"/>
  </r>
  <r>
    <s v="ORD-10719"/>
    <x v="55"/>
    <s v="Ashley Gonzalez"/>
    <x v="2"/>
    <s v="Storage Bins"/>
    <x v="2"/>
    <n v="1"/>
    <n v="2102.6785999999997"/>
    <n v="0"/>
    <n v="2102.6785999999997"/>
    <n v="620.77279999999996"/>
    <x v="1"/>
    <n v="2025"/>
    <x v="8"/>
    <x v="14"/>
    <n v="0.29522952295229526"/>
    <x v="14"/>
    <x v="14"/>
  </r>
  <r>
    <s v="ORD-10720"/>
    <x v="451"/>
    <s v="Emily Perez"/>
    <x v="2"/>
    <s v="Sunscreen SPF50"/>
    <x v="1"/>
    <n v="4"/>
    <n v="1968.3039999999999"/>
    <n v="25"/>
    <n v="5904.9119999999994"/>
    <n v="3808.8574999999996"/>
    <x v="1"/>
    <n v="2025"/>
    <x v="0"/>
    <x v="13"/>
    <n v="0.64503205128205132"/>
    <x v="13"/>
    <x v="13"/>
  </r>
  <r>
    <s v="ORD-10721"/>
    <x v="152"/>
    <s v="Mary Perez"/>
    <x v="4"/>
    <s v="Knife Set"/>
    <x v="2"/>
    <n v="2"/>
    <n v="5129.8922999999995"/>
    <n v="0"/>
    <n v="10259.784599999999"/>
    <n v="2186.8993"/>
    <x v="1"/>
    <n v="2024"/>
    <x v="10"/>
    <x v="17"/>
    <n v="0.21315255487917362"/>
    <x v="17"/>
    <x v="17"/>
  </r>
  <r>
    <s v="ORD-10722"/>
    <x v="452"/>
    <s v="Lisa Lopez"/>
    <x v="4"/>
    <s v="Cycling Gloves"/>
    <x v="4"/>
    <n v="3"/>
    <n v="2428.2057999999997"/>
    <n v="10"/>
    <n v="6555.9663999999993"/>
    <n v="1573.6968999999999"/>
    <x v="0"/>
    <n v="2024"/>
    <x v="6"/>
    <x v="6"/>
    <n v="0.240040415704388"/>
    <x v="6"/>
    <x v="6"/>
  </r>
  <r>
    <s v="ORD-10723"/>
    <x v="15"/>
    <s v="Elizabeth Ramirez"/>
    <x v="3"/>
    <s v="Foam Roller"/>
    <x v="4"/>
    <n v="1"/>
    <n v="4934.9544999999998"/>
    <n v="10"/>
    <n v="4441.9321999999993"/>
    <n v="863.97190000000001"/>
    <x v="1"/>
    <n v="2024"/>
    <x v="0"/>
    <x v="0"/>
    <n v="0.19450362164465279"/>
    <x v="0"/>
    <x v="0"/>
  </r>
  <r>
    <s v="ORD-10724"/>
    <x v="114"/>
    <s v="Linda Gonzalez"/>
    <x v="3"/>
    <s v="Perfume Travel"/>
    <x v="1"/>
    <n v="3"/>
    <n v="3379.2372999999998"/>
    <n v="0"/>
    <n v="10137.711899999998"/>
    <n v="4495.8712999999998"/>
    <x v="0"/>
    <n v="2024"/>
    <x v="4"/>
    <x v="4"/>
    <n v="0.44347988425277707"/>
    <x v="4"/>
    <x v="4"/>
  </r>
  <r>
    <s v="ORD-10725"/>
    <x v="400"/>
    <s v="Richard Rodriguez"/>
    <x v="3"/>
    <s v="Casual Sneakers"/>
    <x v="3"/>
    <n v="4"/>
    <n v="3209.8496"/>
    <n v="20"/>
    <n v="10271.1402"/>
    <n v="3350.8482999999997"/>
    <x v="1"/>
    <n v="2024"/>
    <x v="7"/>
    <x v="10"/>
    <n v="0.32623917449788092"/>
    <x v="10"/>
    <x v="10"/>
  </r>
  <r>
    <s v="ORD-10726"/>
    <x v="413"/>
    <s v="Michael Smith"/>
    <x v="1"/>
    <s v="Face Mask Pack"/>
    <x v="1"/>
    <n v="2"/>
    <n v="2181.2215000000001"/>
    <n v="0"/>
    <n v="4362.4430000000002"/>
    <n v="1861.3721"/>
    <x v="2"/>
    <n v="2024"/>
    <x v="6"/>
    <x v="6"/>
    <n v="0.4266811279826464"/>
    <x v="6"/>
    <x v="6"/>
  </r>
  <r>
    <s v="ORD-10727"/>
    <x v="345"/>
    <s v="Joshua Lee"/>
    <x v="3"/>
    <s v="Resistance Bands"/>
    <x v="4"/>
    <n v="2"/>
    <n v="3242.9701"/>
    <n v="0"/>
    <n v="6485.9402"/>
    <n v="1726.0511999999999"/>
    <x v="2"/>
    <n v="2025"/>
    <x v="11"/>
    <x v="19"/>
    <n v="0.26612197257076159"/>
    <x v="19"/>
    <x v="19"/>
  </r>
  <r>
    <s v="ORD-10728"/>
    <x v="396"/>
    <s v="Emily Brown"/>
    <x v="4"/>
    <s v="Sunscreen SPF50"/>
    <x v="1"/>
    <n v="3"/>
    <n v="3328.1370999999999"/>
    <n v="0"/>
    <n v="9984.4112999999998"/>
    <n v="6408.3435999999992"/>
    <x v="0"/>
    <n v="2025"/>
    <x v="4"/>
    <x v="16"/>
    <n v="0.64183489716614528"/>
    <x v="16"/>
    <x v="16"/>
  </r>
  <r>
    <s v="ORD-10729"/>
    <x v="453"/>
    <s v="Andrew Harris"/>
    <x v="4"/>
    <s v="Cotton T-Shirt"/>
    <x v="3"/>
    <n v="1"/>
    <n v="1526.3818999999999"/>
    <n v="0"/>
    <n v="1526.3818999999999"/>
    <n v="675.65819999999997"/>
    <x v="0"/>
    <n v="2024"/>
    <x v="3"/>
    <x v="3"/>
    <n v="0.4426534407935524"/>
    <x v="3"/>
    <x v="3"/>
  </r>
  <r>
    <s v="ORD-10730"/>
    <x v="140"/>
    <s v="Kimberly Garcia"/>
    <x v="0"/>
    <s v="Yoga Mat"/>
    <x v="4"/>
    <n v="3"/>
    <n v="889.52199999999993"/>
    <n v="5"/>
    <n v="2535.1376999999998"/>
    <n v="655.78589999999997"/>
    <x v="0"/>
    <n v="2024"/>
    <x v="1"/>
    <x v="11"/>
    <n v="0.25867861142217247"/>
    <x v="11"/>
    <x v="11"/>
  </r>
  <r>
    <s v="ORD-10731"/>
    <x v="410"/>
    <s v="Lisa Jones"/>
    <x v="4"/>
    <s v="Lip Balm Set"/>
    <x v="1"/>
    <n v="1"/>
    <n v="4551.7029999999995"/>
    <n v="10"/>
    <n v="4096.5326999999997"/>
    <n v="2547.4396000000002"/>
    <x v="0"/>
    <n v="2024"/>
    <x v="5"/>
    <x v="18"/>
    <n v="0.62185262185262191"/>
    <x v="18"/>
    <x v="18"/>
  </r>
  <r>
    <s v="ORD-10732"/>
    <x v="454"/>
    <s v="Matthew Rodriguez"/>
    <x v="1"/>
    <s v="Wool Sweater"/>
    <x v="3"/>
    <n v="3"/>
    <n v="2426.3132000000001"/>
    <n v="10"/>
    <n v="6551.2349000000004"/>
    <n v="2590.9694"/>
    <x v="0"/>
    <n v="2024"/>
    <x v="3"/>
    <x v="3"/>
    <n v="0.39549328325870287"/>
    <x v="3"/>
    <x v="3"/>
  </r>
  <r>
    <s v="ORD-10733"/>
    <x v="455"/>
    <s v="Dorothy Wilson"/>
    <x v="4"/>
    <s v="Lip Balm Set"/>
    <x v="1"/>
    <n v="3"/>
    <n v="3655.5569"/>
    <n v="25"/>
    <n v="8225.239599999999"/>
    <n v="3859.9576999999999"/>
    <x v="1"/>
    <n v="2025"/>
    <x v="4"/>
    <x v="16"/>
    <n v="0.46928209848136221"/>
    <x v="16"/>
    <x v="16"/>
  </r>
  <r>
    <s v="ORD-10734"/>
    <x v="456"/>
    <s v="Nancy Lopez"/>
    <x v="1"/>
    <s v="Denim Jacket"/>
    <x v="3"/>
    <n v="2"/>
    <n v="6079.0311999999994"/>
    <n v="0"/>
    <n v="12158.062399999999"/>
    <n v="5856.6507000000001"/>
    <x v="0"/>
    <n v="2024"/>
    <x v="3"/>
    <x v="3"/>
    <n v="0.48170921544209222"/>
    <x v="3"/>
    <x v="3"/>
  </r>
  <r>
    <s v="ORD-10735"/>
    <x v="219"/>
    <s v="Joshua Taylor"/>
    <x v="3"/>
    <s v="Shampoo Organic"/>
    <x v="1"/>
    <n v="2"/>
    <n v="3738.8312999999998"/>
    <n v="25"/>
    <n v="5608.7201000000005"/>
    <n v="3048.9785999999999"/>
    <x v="0"/>
    <n v="2024"/>
    <x v="4"/>
    <x v="4"/>
    <n v="0.5436139699679432"/>
    <x v="4"/>
    <x v="4"/>
  </r>
  <r>
    <s v="ORD-10736"/>
    <x v="166"/>
    <s v="James Jackson"/>
    <x v="4"/>
    <s v="USB-C Hub"/>
    <x v="0"/>
    <n v="1"/>
    <n v="13962.656500000001"/>
    <n v="0"/>
    <n v="13962.656500000001"/>
    <n v="1776.2050999999999"/>
    <x v="0"/>
    <n v="2024"/>
    <x v="7"/>
    <x v="10"/>
    <n v="0.12721111487631309"/>
    <x v="10"/>
    <x v="10"/>
  </r>
  <r>
    <s v="ORD-10737"/>
    <x v="457"/>
    <s v="Joseph Thompson"/>
    <x v="1"/>
    <s v="Laptop Stand"/>
    <x v="0"/>
    <n v="1"/>
    <n v="2783.0682999999999"/>
    <n v="5"/>
    <n v="2643.9621999999999"/>
    <n v="379.46629999999999"/>
    <x v="1"/>
    <n v="2025"/>
    <x v="7"/>
    <x v="8"/>
    <n v="0.14352183249821046"/>
    <x v="8"/>
    <x v="8"/>
  </r>
  <r>
    <s v="ORD-10738"/>
    <x v="389"/>
    <s v="Andrew Jackson"/>
    <x v="2"/>
    <s v="Casual Sneakers"/>
    <x v="3"/>
    <n v="1"/>
    <n v="5558.5662000000002"/>
    <n v="0"/>
    <n v="5558.5662000000002"/>
    <n v="2075.2358999999997"/>
    <x v="1"/>
    <n v="2025"/>
    <x v="3"/>
    <x v="7"/>
    <n v="0.37334014300306428"/>
    <x v="7"/>
    <x v="7"/>
  </r>
  <r>
    <s v="ORD-10739"/>
    <x v="385"/>
    <s v="Karen Gonzalez"/>
    <x v="2"/>
    <s v="Hair Oil"/>
    <x v="1"/>
    <n v="3"/>
    <n v="4151.4180999999999"/>
    <n v="10"/>
    <n v="11208.923499999999"/>
    <n v="5688.2092999999995"/>
    <x v="1"/>
    <n v="2025"/>
    <x v="8"/>
    <x v="14"/>
    <n v="0.50747150696496413"/>
    <x v="14"/>
    <x v="14"/>
  </r>
  <r>
    <s v="ORD-10740"/>
    <x v="458"/>
    <s v="Donald Jones"/>
    <x v="2"/>
    <s v="Yoga Mat"/>
    <x v="4"/>
    <n v="1"/>
    <n v="3092.5083999999997"/>
    <n v="5"/>
    <n v="2938.2615000000001"/>
    <n v="983.20569999999998"/>
    <x v="0"/>
    <n v="2025"/>
    <x v="8"/>
    <x v="14"/>
    <n v="0.33462157809983895"/>
    <x v="14"/>
    <x v="14"/>
  </r>
  <r>
    <s v="ORD-10741"/>
    <x v="204"/>
    <s v="Betty Gonzalez"/>
    <x v="3"/>
    <s v="Pillow Set"/>
    <x v="2"/>
    <n v="3"/>
    <n v="3135.0918999999999"/>
    <n v="0"/>
    <n v="9405.2757000000001"/>
    <n v="3309.2110999999995"/>
    <x v="0"/>
    <n v="2024"/>
    <x v="11"/>
    <x v="23"/>
    <n v="0.35184626219941639"/>
    <x v="23"/>
    <x v="23"/>
  </r>
  <r>
    <s v="ORD-10742"/>
    <x v="341"/>
    <s v="Anthony Hernandez"/>
    <x v="0"/>
    <s v="Dumbbells 10lb"/>
    <x v="4"/>
    <n v="2"/>
    <n v="2384.6759999999999"/>
    <n v="10"/>
    <n v="4292.4168"/>
    <n v="825.17359999999996"/>
    <x v="0"/>
    <n v="2024"/>
    <x v="0"/>
    <x v="0"/>
    <n v="0.19223985890652556"/>
    <x v="0"/>
    <x v="0"/>
  </r>
  <r>
    <s v="ORD-10743"/>
    <x v="102"/>
    <s v="David Garcia"/>
    <x v="3"/>
    <s v="Athletic Socks"/>
    <x v="3"/>
    <n v="1"/>
    <n v="2688.4382999999998"/>
    <n v="0"/>
    <n v="2688.4382999999998"/>
    <n v="846.93849999999986"/>
    <x v="0"/>
    <n v="2024"/>
    <x v="0"/>
    <x v="0"/>
    <n v="0.31502991904259059"/>
    <x v="0"/>
    <x v="0"/>
  </r>
  <r>
    <s v="ORD-10744"/>
    <x v="459"/>
    <s v="James Garcia"/>
    <x v="3"/>
    <s v="Tablet Case"/>
    <x v="0"/>
    <n v="4"/>
    <n v="9264.277"/>
    <n v="15"/>
    <n v="31498.541799999999"/>
    <n v="5882.2007999999996"/>
    <x v="0"/>
    <n v="2025"/>
    <x v="3"/>
    <x v="7"/>
    <n v="0.18674517815297723"/>
    <x v="7"/>
    <x v="7"/>
  </r>
  <r>
    <s v="ORD-10745"/>
    <x v="377"/>
    <s v="Sandra Brown"/>
    <x v="0"/>
    <s v="Storage Bins"/>
    <x v="2"/>
    <n v="3"/>
    <n v="5925.7305999999999"/>
    <n v="10"/>
    <n v="15999.094099999998"/>
    <n v="3605.4029999999998"/>
    <x v="0"/>
    <n v="2024"/>
    <x v="4"/>
    <x v="4"/>
    <n v="0.22535044656059622"/>
    <x v="4"/>
    <x v="4"/>
  </r>
  <r>
    <s v="ORD-10746"/>
    <x v="460"/>
    <s v="Lisa Smith"/>
    <x v="3"/>
    <s v="Portable Charger"/>
    <x v="0"/>
    <n v="2"/>
    <n v="12150.492"/>
    <n v="10"/>
    <n v="21870.885599999998"/>
    <n v="1909.6333999999999"/>
    <x v="0"/>
    <n v="2024"/>
    <x v="11"/>
    <x v="23"/>
    <n v="8.7313949463482185E-2"/>
    <x v="23"/>
    <x v="23"/>
  </r>
  <r>
    <s v="ORD-10747"/>
    <x v="461"/>
    <s v="Michelle Clark"/>
    <x v="4"/>
    <s v="Smart Watch"/>
    <x v="0"/>
    <n v="3"/>
    <n v="8596.1892000000007"/>
    <n v="0"/>
    <n v="25788.567599999998"/>
    <n v="5559.5124999999998"/>
    <x v="0"/>
    <n v="2024"/>
    <x v="7"/>
    <x v="10"/>
    <n v="0.21558050785263466"/>
    <x v="10"/>
    <x v="10"/>
  </r>
  <r>
    <s v="ORD-10748"/>
    <x v="383"/>
    <s v="Mary Lopez"/>
    <x v="3"/>
    <s v="Face Mask Pack"/>
    <x v="1"/>
    <n v="3"/>
    <n v="947.24629999999991"/>
    <n v="0"/>
    <n v="2841.7388999999998"/>
    <n v="1179.0898"/>
    <x v="0"/>
    <n v="2025"/>
    <x v="10"/>
    <x v="21"/>
    <n v="0.41491841491841491"/>
    <x v="21"/>
    <x v="21"/>
  </r>
  <r>
    <s v="ORD-10749"/>
    <x v="462"/>
    <s v="James Ramirez"/>
    <x v="4"/>
    <s v="Keyboard Mechanical"/>
    <x v="0"/>
    <n v="1"/>
    <n v="8349.2049000000006"/>
    <n v="10"/>
    <n v="7514.568299999999"/>
    <n v="1371.1886999999999"/>
    <x v="1"/>
    <n v="2025"/>
    <x v="5"/>
    <x v="5"/>
    <n v="0.1824707215715905"/>
    <x v="5"/>
    <x v="5"/>
  </r>
  <r>
    <s v="ORD-10750"/>
    <x v="114"/>
    <s v="Thomas Anderson"/>
    <x v="4"/>
    <s v="Denim Jacket"/>
    <x v="3"/>
    <n v="3"/>
    <n v="3859.9576999999999"/>
    <n v="0"/>
    <n v="11579.873100000001"/>
    <n v="3704.7644999999998"/>
    <x v="0"/>
    <n v="2024"/>
    <x v="4"/>
    <x v="4"/>
    <n v="0.3199313557244422"/>
    <x v="4"/>
    <x v="4"/>
  </r>
  <r>
    <s v="ORD-10751"/>
    <x v="238"/>
    <s v="Dorothy Jones"/>
    <x v="1"/>
    <s v="Water Bottle"/>
    <x v="4"/>
    <n v="2"/>
    <n v="2804.8332"/>
    <n v="10"/>
    <n v="5048.5105000000003"/>
    <n v="1156.3786"/>
    <x v="0"/>
    <n v="2025"/>
    <x v="1"/>
    <x v="1"/>
    <n v="0.22905342080599811"/>
    <x v="1"/>
    <x v="1"/>
  </r>
  <r>
    <s v="ORD-10752"/>
    <x v="309"/>
    <s v="Elizabeth Smith"/>
    <x v="3"/>
    <s v="Eye Cream"/>
    <x v="1"/>
    <n v="2"/>
    <n v="2622.1972999999998"/>
    <n v="0"/>
    <n v="5244.3945999999996"/>
    <n v="2751.8403999999996"/>
    <x v="1"/>
    <n v="2025"/>
    <x v="8"/>
    <x v="14"/>
    <n v="0.52472031757488269"/>
    <x v="14"/>
    <x v="14"/>
  </r>
  <r>
    <s v="ORD-10753"/>
    <x v="463"/>
    <s v="Mark Thompson"/>
    <x v="2"/>
    <s v="Cargo Shorts"/>
    <x v="3"/>
    <n v="2"/>
    <n v="5461.0972999999994"/>
    <n v="15"/>
    <n v="9284.1492999999991"/>
    <n v="3119.0047999999997"/>
    <x v="0"/>
    <n v="2025"/>
    <x v="4"/>
    <x v="16"/>
    <n v="0.33594944450107023"/>
    <x v="16"/>
    <x v="16"/>
  </r>
  <r>
    <s v="ORD-10754"/>
    <x v="2"/>
    <s v="Sandra Thomas"/>
    <x v="1"/>
    <s v="Knife Set"/>
    <x v="2"/>
    <n v="1"/>
    <n v="3636.6308999999997"/>
    <n v="0"/>
    <n v="3636.6308999999997"/>
    <n v="1014.4336"/>
    <x v="0"/>
    <n v="2024"/>
    <x v="2"/>
    <x v="2"/>
    <n v="0.27894873796513142"/>
    <x v="2"/>
    <x v="2"/>
  </r>
  <r>
    <s v="ORD-10755"/>
    <x v="302"/>
    <s v="Donald Lopez"/>
    <x v="1"/>
    <s v="Desk Lamp"/>
    <x v="2"/>
    <n v="3"/>
    <n v="4116.4049999999997"/>
    <n v="5"/>
    <n v="11732.2274"/>
    <n v="3912.0042000000003"/>
    <x v="0"/>
    <n v="2024"/>
    <x v="11"/>
    <x v="23"/>
    <n v="0.33344087756089696"/>
    <x v="23"/>
    <x v="23"/>
  </r>
  <r>
    <s v="ORD-10756"/>
    <x v="281"/>
    <s v="David Jackson"/>
    <x v="1"/>
    <s v="Lip Balm Set"/>
    <x v="1"/>
    <n v="3"/>
    <n v="3690.5699999999997"/>
    <n v="10"/>
    <n v="9964.5389999999989"/>
    <n v="4088.0160000000001"/>
    <x v="1"/>
    <n v="2025"/>
    <x v="4"/>
    <x v="16"/>
    <n v="0.4102564102564103"/>
    <x v="16"/>
    <x v="16"/>
  </r>
  <r>
    <s v="ORD-10757"/>
    <x v="309"/>
    <s v="Christopher Martin"/>
    <x v="3"/>
    <s v="Yoga Mat"/>
    <x v="4"/>
    <n v="4"/>
    <n v="5327.6689999999999"/>
    <n v="10"/>
    <n v="19179.608400000001"/>
    <n v="6685.6095000000005"/>
    <x v="2"/>
    <n v="2025"/>
    <x v="8"/>
    <x v="14"/>
    <n v="0.34857904085257552"/>
    <x v="14"/>
    <x v="14"/>
  </r>
  <r>
    <s v="ORD-10758"/>
    <x v="464"/>
    <s v="Donna Martin"/>
    <x v="1"/>
    <s v="Nail Polish Set"/>
    <x v="1"/>
    <n v="2"/>
    <n v="4583.8771999999999"/>
    <n v="0"/>
    <n v="9167.7543999999998"/>
    <n v="5270.8909999999996"/>
    <x v="0"/>
    <n v="2024"/>
    <x v="9"/>
    <x v="15"/>
    <n v="0.57493806771263412"/>
    <x v="15"/>
    <x v="15"/>
  </r>
  <r>
    <s v="ORD-10759"/>
    <x v="228"/>
    <s v="Kevin Johnson"/>
    <x v="2"/>
    <s v="Yoga Mat"/>
    <x v="4"/>
    <n v="4"/>
    <n v="3315.8352"/>
    <n v="0"/>
    <n v="13263.3408"/>
    <n v="3010.1802999999995"/>
    <x v="0"/>
    <n v="2025"/>
    <x v="10"/>
    <x v="21"/>
    <n v="0.22695490867579907"/>
    <x v="21"/>
    <x v="21"/>
  </r>
  <r>
    <s v="ORD-10760"/>
    <x v="41"/>
    <s v="Michael Lee"/>
    <x v="2"/>
    <s v="Shampoo Organic"/>
    <x v="1"/>
    <n v="2"/>
    <n v="4197.7867999999999"/>
    <n v="0"/>
    <n v="8395.5735999999997"/>
    <n v="3651.7717000000002"/>
    <x v="1"/>
    <n v="2024"/>
    <x v="4"/>
    <x v="4"/>
    <n v="0.43496393146979268"/>
    <x v="4"/>
    <x v="4"/>
  </r>
  <r>
    <s v="ORD-10761"/>
    <x v="2"/>
    <s v="Barbara Thompson"/>
    <x v="3"/>
    <s v="Pillow Set"/>
    <x v="2"/>
    <n v="2"/>
    <n v="3618.6511999999998"/>
    <n v="5"/>
    <n v="6875.8157999999994"/>
    <n v="2723.4513999999999"/>
    <x v="0"/>
    <n v="2024"/>
    <x v="2"/>
    <x v="2"/>
    <n v="0.39609138453069093"/>
    <x v="2"/>
    <x v="2"/>
  </r>
  <r>
    <s v="ORD-10762"/>
    <x v="105"/>
    <s v="Sarah Thompson"/>
    <x v="2"/>
    <s v="Wool Sweater"/>
    <x v="3"/>
    <n v="2"/>
    <n v="7627.177999999999"/>
    <n v="25"/>
    <n v="11440.767"/>
    <n v="6054.4273999999996"/>
    <x v="1"/>
    <n v="2024"/>
    <x v="2"/>
    <x v="2"/>
    <n v="0.52919768403639367"/>
    <x v="2"/>
    <x v="2"/>
  </r>
  <r>
    <s v="ORD-10763"/>
    <x v="465"/>
    <s v="Nancy White"/>
    <x v="3"/>
    <s v="Desk Lamp"/>
    <x v="2"/>
    <n v="2"/>
    <n v="5357.9505999999992"/>
    <n v="10"/>
    <n v="9644.6895999999997"/>
    <n v="1971.1428999999998"/>
    <x v="1"/>
    <n v="2024"/>
    <x v="10"/>
    <x v="17"/>
    <n v="0.20437598116169545"/>
    <x v="17"/>
    <x v="17"/>
  </r>
  <r>
    <s v="ORD-10764"/>
    <x v="466"/>
    <s v="Lisa Thompson"/>
    <x v="1"/>
    <s v="Swim Goggles"/>
    <x v="4"/>
    <n v="2"/>
    <n v="5561.4050999999999"/>
    <n v="0"/>
    <n v="11122.8102"/>
    <n v="3611.0807999999997"/>
    <x v="1"/>
    <n v="2025"/>
    <x v="0"/>
    <x v="13"/>
    <n v="0.32465543644716688"/>
    <x v="13"/>
    <x v="13"/>
  </r>
  <r>
    <s v="ORD-10765"/>
    <x v="42"/>
    <s v="Jennifer Perez"/>
    <x v="1"/>
    <s v="Casual Sneakers"/>
    <x v="3"/>
    <n v="1"/>
    <n v="3972.5673999999995"/>
    <n v="25"/>
    <n v="2979.8986999999997"/>
    <n v="1139.3452"/>
    <x v="1"/>
    <n v="2024"/>
    <x v="2"/>
    <x v="2"/>
    <n v="0.38234360114322008"/>
    <x v="2"/>
    <x v="2"/>
  </r>
  <r>
    <s v="ORD-10766"/>
    <x v="467"/>
    <s v="Susan Robinson"/>
    <x v="1"/>
    <s v="Resistance Bands"/>
    <x v="4"/>
    <n v="2"/>
    <n v="1656.0249999999999"/>
    <n v="15"/>
    <n v="2815.2424999999998"/>
    <n v="683.22859999999991"/>
    <x v="0"/>
    <n v="2025"/>
    <x v="5"/>
    <x v="5"/>
    <n v="0.24268907563025208"/>
    <x v="5"/>
    <x v="5"/>
  </r>
  <r>
    <s v="ORD-10767"/>
    <x v="205"/>
    <s v="Donna Hernandez"/>
    <x v="1"/>
    <s v="Coffee Maker"/>
    <x v="2"/>
    <n v="3"/>
    <n v="6825.6618999999992"/>
    <n v="0"/>
    <n v="20476.985699999997"/>
    <n v="7330.9860999999992"/>
    <x v="0"/>
    <n v="2025"/>
    <x v="7"/>
    <x v="8"/>
    <n v="0.35801099865982716"/>
    <x v="8"/>
    <x v="8"/>
  </r>
  <r>
    <s v="ORD-10768"/>
    <x v="468"/>
    <s v="Barbara Clark"/>
    <x v="1"/>
    <s v="Mouse Wireless"/>
    <x v="0"/>
    <n v="1"/>
    <n v="11937.574500000001"/>
    <n v="10"/>
    <n v="10744.290199999999"/>
    <n v="1994.8003999999999"/>
    <x v="0"/>
    <n v="2025"/>
    <x v="5"/>
    <x v="5"/>
    <n v="0.1856614409018848"/>
    <x v="5"/>
    <x v="5"/>
  </r>
  <r>
    <s v="ORD-10769"/>
    <x v="350"/>
    <s v="Michelle White"/>
    <x v="0"/>
    <s v="Door Mat"/>
    <x v="2"/>
    <n v="2"/>
    <n v="3884.5614999999993"/>
    <n v="0"/>
    <n v="7769.1229999999987"/>
    <n v="2929.7447999999999"/>
    <x v="0"/>
    <n v="2025"/>
    <x v="10"/>
    <x v="21"/>
    <n v="0.37710109622411697"/>
    <x v="21"/>
    <x v="21"/>
  </r>
  <r>
    <s v="ORD-10770"/>
    <x v="469"/>
    <s v="Jennifer Ramirez"/>
    <x v="4"/>
    <s v="Rain Jacket"/>
    <x v="3"/>
    <n v="1"/>
    <n v="7647.9965999999986"/>
    <n v="5"/>
    <n v="7265.6913999999997"/>
    <n v="2730.0754999999999"/>
    <x v="1"/>
    <n v="2025"/>
    <x v="4"/>
    <x v="16"/>
    <n v="0.37574889294087005"/>
    <x v="16"/>
    <x v="16"/>
  </r>
  <r>
    <s v="ORD-10771"/>
    <x v="470"/>
    <s v="Steven Hernandez"/>
    <x v="4"/>
    <s v="Storage Bins"/>
    <x v="2"/>
    <n v="2"/>
    <n v="7120.9074999999993"/>
    <n v="20"/>
    <n v="11393.451999999999"/>
    <n v="3800.3407999999995"/>
    <x v="0"/>
    <n v="2024"/>
    <x v="1"/>
    <x v="11"/>
    <n v="0.33355481727574748"/>
    <x v="11"/>
    <x v="11"/>
  </r>
  <r>
    <s v="ORD-10772"/>
    <x v="471"/>
    <s v="Donald Johnson"/>
    <x v="4"/>
    <s v="Mouse Wireless"/>
    <x v="0"/>
    <n v="4"/>
    <n v="9282.2566999999999"/>
    <n v="5"/>
    <n v="35272.386200000001"/>
    <n v="5717.5446000000002"/>
    <x v="1"/>
    <n v="2025"/>
    <x v="2"/>
    <x v="9"/>
    <n v="0.16209690400815582"/>
    <x v="9"/>
    <x v="9"/>
  </r>
  <r>
    <s v="ORD-10773"/>
    <x v="472"/>
    <s v="Emily Miller"/>
    <x v="4"/>
    <s v="Dumbbells 10lb"/>
    <x v="4"/>
    <n v="1"/>
    <n v="2580.5600999999997"/>
    <n v="0"/>
    <n v="2580.5600999999997"/>
    <n v="887.62940000000003"/>
    <x v="0"/>
    <n v="2024"/>
    <x v="8"/>
    <x v="12"/>
    <n v="0.34396773010634402"/>
    <x v="12"/>
    <x v="12"/>
  </r>
  <r>
    <s v="ORD-10774"/>
    <x v="473"/>
    <s v="Robert Jackson"/>
    <x v="4"/>
    <s v="Tennis Balls"/>
    <x v="4"/>
    <n v="2"/>
    <n v="2740.4847999999997"/>
    <n v="0"/>
    <n v="5480.9695999999994"/>
    <n v="1517.8652"/>
    <x v="2"/>
    <n v="2025"/>
    <x v="10"/>
    <x v="21"/>
    <n v="0.27693370165745856"/>
    <x v="21"/>
    <x v="21"/>
  </r>
  <r>
    <s v="ORD-10775"/>
    <x v="474"/>
    <s v="Steven Sanchez"/>
    <x v="3"/>
    <s v="Gym Bag"/>
    <x v="4"/>
    <n v="1"/>
    <n v="5521.6605"/>
    <n v="20"/>
    <n v="4417.3283999999994"/>
    <n v="1495.154"/>
    <x v="1"/>
    <n v="2025"/>
    <x v="6"/>
    <x v="20"/>
    <n v="0.33847472150814056"/>
    <x v="20"/>
    <x v="20"/>
  </r>
  <r>
    <s v="ORD-10776"/>
    <x v="125"/>
    <s v="Donald Jones"/>
    <x v="0"/>
    <s v="Resistance Bands"/>
    <x v="4"/>
    <n v="3"/>
    <n v="2284.3681999999999"/>
    <n v="10"/>
    <n v="6167.9834000000001"/>
    <n v="1268.0419999999999"/>
    <x v="0"/>
    <n v="2024"/>
    <x v="2"/>
    <x v="2"/>
    <n v="0.20558453513347652"/>
    <x v="2"/>
    <x v="2"/>
  </r>
  <r>
    <s v="ORD-10777"/>
    <x v="475"/>
    <s v="James Moore"/>
    <x v="1"/>
    <s v="Rain Jacket"/>
    <x v="3"/>
    <n v="1"/>
    <n v="3891.1855999999998"/>
    <n v="15"/>
    <n v="3307.3185000000003"/>
    <n v="1665.4880000000001"/>
    <x v="1"/>
    <n v="2025"/>
    <x v="9"/>
    <x v="22"/>
    <n v="0.50357653791130186"/>
    <x v="22"/>
    <x v="22"/>
  </r>
  <r>
    <s v="ORD-10778"/>
    <x v="435"/>
    <s v="Dorothy Ramirez"/>
    <x v="3"/>
    <s v="Scented Candle Set"/>
    <x v="2"/>
    <n v="1"/>
    <n v="4162.7736999999997"/>
    <n v="5"/>
    <n v="3954.5876999999996"/>
    <n v="1221.6732999999999"/>
    <x v="1"/>
    <n v="2025"/>
    <x v="5"/>
    <x v="5"/>
    <n v="0.30892558028236422"/>
    <x v="5"/>
    <x v="5"/>
  </r>
  <r>
    <s v="ORD-10779"/>
    <x v="453"/>
    <s v="Linda Ramirez"/>
    <x v="0"/>
    <s v="Yoga Pants"/>
    <x v="3"/>
    <n v="1"/>
    <n v="5394.8562999999995"/>
    <n v="5"/>
    <n v="5125.1607999999997"/>
    <n v="2751.8403999999996"/>
    <x v="0"/>
    <n v="2024"/>
    <x v="3"/>
    <x v="3"/>
    <n v="0.53692762186115206"/>
    <x v="3"/>
    <x v="3"/>
  </r>
  <r>
    <s v="ORD-10780"/>
    <x v="476"/>
    <s v="Jennifer Williams"/>
    <x v="4"/>
    <s v="Gym Bag"/>
    <x v="4"/>
    <n v="1"/>
    <n v="3989.6007999999997"/>
    <n v="0"/>
    <n v="3989.6007999999997"/>
    <n v="770.28819999999996"/>
    <x v="0"/>
    <n v="2024"/>
    <x v="5"/>
    <x v="18"/>
    <n v="0.19307400379506642"/>
    <x v="18"/>
    <x v="18"/>
  </r>
  <r>
    <s v="ORD-10781"/>
    <x v="260"/>
    <s v="Carol White"/>
    <x v="1"/>
    <s v="Sunscreen SPF50"/>
    <x v="1"/>
    <n v="2"/>
    <n v="1538.6838"/>
    <n v="0"/>
    <n v="3077.3676"/>
    <n v="1293.5920999999998"/>
    <x v="0"/>
    <n v="2024"/>
    <x v="7"/>
    <x v="10"/>
    <n v="0.42035670356703564"/>
    <x v="10"/>
    <x v="10"/>
  </r>
  <r>
    <s v="ORD-10782"/>
    <x v="477"/>
    <s v="Joseph Taylor"/>
    <x v="1"/>
    <s v="Door Mat"/>
    <x v="2"/>
    <n v="2"/>
    <n v="4218.6053999999995"/>
    <n v="0"/>
    <n v="8437.2107999999989"/>
    <n v="3062.2267999999999"/>
    <x v="2"/>
    <n v="2024"/>
    <x v="10"/>
    <x v="17"/>
    <n v="0.36294302377747872"/>
    <x v="17"/>
    <x v="17"/>
  </r>
  <r>
    <s v="ORD-10783"/>
    <x v="463"/>
    <s v="Donna Martinez"/>
    <x v="2"/>
    <s v="Mouse Wireless"/>
    <x v="0"/>
    <n v="3"/>
    <n v="7745.4654999999993"/>
    <n v="5"/>
    <n v="22074.340100000001"/>
    <n v="5186.6702999999998"/>
    <x v="0"/>
    <n v="2025"/>
    <x v="4"/>
    <x v="16"/>
    <n v="0.23496377588202511"/>
    <x v="16"/>
    <x v="16"/>
  </r>
  <r>
    <s v="ORD-10784"/>
    <x v="172"/>
    <s v="Carol Martinez"/>
    <x v="4"/>
    <s v="Face Moisturizer"/>
    <x v="1"/>
    <n v="1"/>
    <n v="1871.7814000000001"/>
    <n v="5"/>
    <n v="1778.0976999999998"/>
    <n v="853.56259999999997"/>
    <x v="0"/>
    <n v="2025"/>
    <x v="3"/>
    <x v="7"/>
    <n v="0.48004257583821186"/>
    <x v="7"/>
    <x v="7"/>
  </r>
  <r>
    <s v="ORD-10785"/>
    <x v="478"/>
    <s v="Linda Lee"/>
    <x v="0"/>
    <s v="Denim Jacket"/>
    <x v="3"/>
    <n v="3"/>
    <n v="2935.4225999999999"/>
    <n v="0"/>
    <n v="8806.2677999999996"/>
    <n v="3295.0165999999999"/>
    <x v="0"/>
    <n v="2024"/>
    <x v="11"/>
    <x v="23"/>
    <n v="0.37416720395443798"/>
    <x v="23"/>
    <x v="23"/>
  </r>
  <r>
    <s v="ORD-10786"/>
    <x v="315"/>
    <s v="Sandra White"/>
    <x v="3"/>
    <s v="Tennis Balls"/>
    <x v="4"/>
    <n v="4"/>
    <n v="5140.3015999999998"/>
    <n v="15"/>
    <n v="17477.2147"/>
    <n v="5769.5910999999996"/>
    <x v="1"/>
    <n v="2024"/>
    <x v="4"/>
    <x v="4"/>
    <n v="0.33012074286642479"/>
    <x v="4"/>
    <x v="4"/>
  </r>
  <r>
    <s v="ORD-10787"/>
    <x v="479"/>
    <s v="Sarah Lee"/>
    <x v="3"/>
    <s v="Perfume Travel"/>
    <x v="1"/>
    <n v="3"/>
    <n v="3055.6026999999999"/>
    <n v="10"/>
    <n v="8249.8433999999997"/>
    <n v="5361.7357999999995"/>
    <x v="0"/>
    <n v="2024"/>
    <x v="7"/>
    <x v="10"/>
    <n v="0.64991970635466845"/>
    <x v="10"/>
    <x v="10"/>
  </r>
  <r>
    <s v="ORD-10788"/>
    <x v="205"/>
    <s v="Joseph Smith"/>
    <x v="4"/>
    <s v="Gym Bag"/>
    <x v="4"/>
    <n v="1"/>
    <n v="1812.1644999999999"/>
    <n v="0"/>
    <n v="1812.1644999999999"/>
    <n v="374.73480000000001"/>
    <x v="0"/>
    <n v="2025"/>
    <x v="7"/>
    <x v="8"/>
    <n v="0.20678851174934729"/>
    <x v="8"/>
    <x v="8"/>
  </r>
  <r>
    <s v="ORD-10789"/>
    <x v="413"/>
    <s v="Christopher Jones"/>
    <x v="4"/>
    <s v="Portable Charger"/>
    <x v="0"/>
    <n v="1"/>
    <n v="4244.1554999999998"/>
    <n v="10"/>
    <n v="3820.2130999999995"/>
    <n v="770.28819999999996"/>
    <x v="1"/>
    <n v="2024"/>
    <x v="6"/>
    <x v="6"/>
    <n v="0.20163487738419619"/>
    <x v="6"/>
    <x v="6"/>
  </r>
  <r>
    <s v="ORD-10790"/>
    <x v="480"/>
    <s v="Michelle Gonzalez"/>
    <x v="4"/>
    <s v="Scented Candle Set"/>
    <x v="2"/>
    <n v="2"/>
    <n v="6983.6939999999995"/>
    <n v="15"/>
    <n v="11872.279799999998"/>
    <n v="2635.4454999999998"/>
    <x v="1"/>
    <n v="2024"/>
    <x v="8"/>
    <x v="12"/>
    <n v="0.22198310218396303"/>
    <x v="12"/>
    <x v="12"/>
  </r>
  <r>
    <s v="ORD-10791"/>
    <x v="221"/>
    <s v="Joseph Jones"/>
    <x v="4"/>
    <s v="Casual Sneakers"/>
    <x v="3"/>
    <n v="1"/>
    <n v="3613.9196999999995"/>
    <n v="25"/>
    <n v="2710.2031999999999"/>
    <n v="1127.9895999999999"/>
    <x v="0"/>
    <n v="2024"/>
    <x v="1"/>
    <x v="11"/>
    <n v="0.41620111731843573"/>
    <x v="11"/>
    <x v="11"/>
  </r>
  <r>
    <s v="ORD-10792"/>
    <x v="18"/>
    <s v="Elizabeth Rodriguez"/>
    <x v="2"/>
    <s v="Desk Lamp"/>
    <x v="2"/>
    <n v="1"/>
    <n v="4071.9288999999999"/>
    <n v="0"/>
    <n v="4071.9288999999999"/>
    <n v="1042.8226"/>
    <x v="0"/>
    <n v="2024"/>
    <x v="7"/>
    <x v="10"/>
    <n v="0.25610039507320476"/>
    <x v="10"/>
    <x v="10"/>
  </r>
  <r>
    <s v="ORD-10793"/>
    <x v="481"/>
    <s v="Jessica Rodriguez"/>
    <x v="1"/>
    <s v="Eye Cream"/>
    <x v="1"/>
    <n v="4"/>
    <n v="1417.5573999999999"/>
    <n v="10"/>
    <n v="5103.3958999999995"/>
    <n v="2825.6517999999996"/>
    <x v="0"/>
    <n v="2024"/>
    <x v="8"/>
    <x v="12"/>
    <n v="0.55368069720007418"/>
    <x v="12"/>
    <x v="12"/>
  </r>
  <r>
    <s v="ORD-10794"/>
    <x v="261"/>
    <s v="Steven Miller"/>
    <x v="2"/>
    <s v="Yoga Pants"/>
    <x v="3"/>
    <n v="3"/>
    <n v="7687.7411999999995"/>
    <n v="15"/>
    <n v="19603.550799999997"/>
    <n v="6838.9100999999991"/>
    <x v="0"/>
    <n v="2024"/>
    <x v="0"/>
    <x v="0"/>
    <n v="0.3488607839351226"/>
    <x v="0"/>
    <x v="0"/>
  </r>
  <r>
    <s v="ORD-10795"/>
    <x v="228"/>
    <s v="Elizabeth Harris"/>
    <x v="1"/>
    <s v="Running Shoes"/>
    <x v="3"/>
    <n v="5"/>
    <n v="6919.3455999999996"/>
    <n v="0"/>
    <n v="34596.728000000003"/>
    <n v="14199.2315"/>
    <x v="0"/>
    <n v="2025"/>
    <x v="10"/>
    <x v="21"/>
    <n v="0.41042122538293213"/>
    <x v="21"/>
    <x v="21"/>
  </r>
  <r>
    <s v="ORD-10796"/>
    <x v="482"/>
    <s v="Lisa Johnson"/>
    <x v="0"/>
    <s v="Knife Set"/>
    <x v="2"/>
    <n v="2"/>
    <n v="4376.6374999999998"/>
    <n v="10"/>
    <n v="7877.9474999999993"/>
    <n v="1966.4114"/>
    <x v="0"/>
    <n v="2025"/>
    <x v="11"/>
    <x v="19"/>
    <n v="0.24960960960960962"/>
    <x v="19"/>
    <x v="19"/>
  </r>
  <r>
    <s v="ORD-10797"/>
    <x v="483"/>
    <s v="Nancy Taylor"/>
    <x v="3"/>
    <s v="Tennis Balls"/>
    <x v="4"/>
    <n v="4"/>
    <n v="1612.4951999999998"/>
    <n v="0"/>
    <n v="6449.9807999999994"/>
    <n v="1224.5121999999999"/>
    <x v="1"/>
    <n v="2025"/>
    <x v="7"/>
    <x v="8"/>
    <n v="0.18984741784037559"/>
    <x v="8"/>
    <x v="8"/>
  </r>
  <r>
    <s v="ORD-10798"/>
    <x v="145"/>
    <s v="Paul Miller"/>
    <x v="3"/>
    <s v="Cotton T-Shirt"/>
    <x v="3"/>
    <n v="2"/>
    <n v="5421.3526999999995"/>
    <n v="0"/>
    <n v="10842.705399999999"/>
    <n v="5685.3703999999998"/>
    <x v="0"/>
    <n v="2025"/>
    <x v="3"/>
    <x v="7"/>
    <n v="0.52434979926688785"/>
    <x v="7"/>
    <x v="7"/>
  </r>
  <r>
    <s v="ORD-10799"/>
    <x v="484"/>
    <s v="David Garcia"/>
    <x v="0"/>
    <s v="Body Lotion"/>
    <x v="1"/>
    <n v="2"/>
    <n v="778.80489999999998"/>
    <n v="0"/>
    <n v="1557.6098"/>
    <n v="967.11860000000001"/>
    <x v="1"/>
    <n v="2025"/>
    <x v="7"/>
    <x v="8"/>
    <n v="0.62089914945322"/>
    <x v="8"/>
    <x v="8"/>
  </r>
  <r>
    <s v="ORD-10800"/>
    <x v="234"/>
    <s v="Linda Rodriguez"/>
    <x v="4"/>
    <s v="Tablet Case"/>
    <x v="0"/>
    <n v="1"/>
    <n v="2560.6877999999997"/>
    <n v="15"/>
    <n v="2176.4899999999998"/>
    <n v="280.10480000000001"/>
    <x v="0"/>
    <n v="2025"/>
    <x v="11"/>
    <x v="19"/>
    <n v="0.12869565217391307"/>
    <x v="19"/>
    <x v="19"/>
  </r>
  <r>
    <s v="ORD-10801"/>
    <x v="466"/>
    <s v="Lisa Robinson"/>
    <x v="2"/>
    <s v="Face Moisturizer"/>
    <x v="1"/>
    <n v="2"/>
    <n v="1481.9058"/>
    <n v="10"/>
    <n v="2667.6197000000002"/>
    <n v="1548.1468"/>
    <x v="0"/>
    <n v="2025"/>
    <x v="0"/>
    <x v="13"/>
    <n v="0.5803476410074494"/>
    <x v="13"/>
    <x v="13"/>
  </r>
  <r>
    <s v="ORD-10802"/>
    <x v="122"/>
    <s v="Richard Clark"/>
    <x v="4"/>
    <s v="Blender"/>
    <x v="2"/>
    <n v="2"/>
    <n v="1916.2574999999999"/>
    <n v="0"/>
    <n v="3832.5149999999999"/>
    <n v="1468.6576"/>
    <x v="0"/>
    <n v="2025"/>
    <x v="1"/>
    <x v="1"/>
    <n v="0.38320987654320987"/>
    <x v="1"/>
    <x v="1"/>
  </r>
  <r>
    <s v="ORD-10803"/>
    <x v="485"/>
    <s v="Christopher Wilson"/>
    <x v="0"/>
    <s v="Running Shoes"/>
    <x v="3"/>
    <n v="4"/>
    <n v="1578.4284"/>
    <n v="0"/>
    <n v="6313.7136"/>
    <n v="3107.6492000000003"/>
    <x v="1"/>
    <n v="2024"/>
    <x v="5"/>
    <x v="18"/>
    <n v="0.49220623501199046"/>
    <x v="18"/>
    <x v="18"/>
  </r>
  <r>
    <s v="ORD-10804"/>
    <x v="294"/>
    <s v="Mark Thompson"/>
    <x v="3"/>
    <s v="Yoga Mat"/>
    <x v="4"/>
    <n v="2"/>
    <n v="4300.9335000000001"/>
    <n v="0"/>
    <n v="8601.8670000000002"/>
    <n v="2800.1016999999997"/>
    <x v="0"/>
    <n v="2024"/>
    <x v="8"/>
    <x v="12"/>
    <n v="0.32552255225522547"/>
    <x v="12"/>
    <x v="12"/>
  </r>
  <r>
    <s v="ORD-10805"/>
    <x v="278"/>
    <s v="Mark Harris"/>
    <x v="1"/>
    <s v="Blender"/>
    <x v="2"/>
    <n v="1"/>
    <n v="2538.9228999999996"/>
    <n v="10"/>
    <n v="2285.3145"/>
    <n v="471.25740000000002"/>
    <x v="1"/>
    <n v="2024"/>
    <x v="10"/>
    <x v="17"/>
    <n v="0.20621118012422363"/>
    <x v="17"/>
    <x v="17"/>
  </r>
  <r>
    <s v="ORD-10806"/>
    <x v="486"/>
    <s v="Thomas Taylor"/>
    <x v="0"/>
    <s v="Casual Sneakers"/>
    <x v="3"/>
    <n v="1"/>
    <n v="3978.2451999999998"/>
    <n v="5"/>
    <n v="3779.5221999999994"/>
    <n v="2026.9746"/>
    <x v="1"/>
    <n v="2024"/>
    <x v="8"/>
    <x v="12"/>
    <n v="0.53630445668502758"/>
    <x v="12"/>
    <x v="12"/>
  </r>
  <r>
    <s v="ORD-10807"/>
    <x v="487"/>
    <s v="Daniel Williams"/>
    <x v="1"/>
    <s v="Tennis Balls"/>
    <x v="4"/>
    <n v="1"/>
    <n v="1034.3058999999998"/>
    <n v="10"/>
    <n v="931.15919999999994"/>
    <n v="319.8494"/>
    <x v="1"/>
    <n v="2024"/>
    <x v="5"/>
    <x v="18"/>
    <n v="0.3434959349593496"/>
    <x v="18"/>
    <x v="18"/>
  </r>
  <r>
    <s v="ORD-10808"/>
    <x v="488"/>
    <s v="Michelle Miller"/>
    <x v="3"/>
    <s v="Mouse Wireless"/>
    <x v="0"/>
    <n v="1"/>
    <n v="4865.8746000000001"/>
    <n v="0"/>
    <n v="4865.8746000000001"/>
    <n v="1007.8095"/>
    <x v="0"/>
    <n v="2025"/>
    <x v="0"/>
    <x v="13"/>
    <n v="0.2071178529754959"/>
    <x v="13"/>
    <x v="13"/>
  </r>
  <r>
    <s v="ORD-10809"/>
    <x v="19"/>
    <s v="Matthew Johnson"/>
    <x v="4"/>
    <s v="Blender"/>
    <x v="2"/>
    <n v="5"/>
    <n v="2996.9321"/>
    <n v="5"/>
    <n v="14235.1909"/>
    <n v="4766.5130999999992"/>
    <x v="0"/>
    <n v="2025"/>
    <x v="1"/>
    <x v="1"/>
    <n v="0.33484012497507143"/>
    <x v="1"/>
    <x v="1"/>
  </r>
  <r>
    <s v="ORD-10810"/>
    <x v="489"/>
    <s v="Andrew Brown"/>
    <x v="1"/>
    <s v="Knife Set"/>
    <x v="2"/>
    <n v="1"/>
    <n v="7497.5348999999997"/>
    <n v="0"/>
    <n v="7497.5348999999997"/>
    <n v="2544.6007"/>
    <x v="0"/>
    <n v="2025"/>
    <x v="8"/>
    <x v="14"/>
    <n v="0.33939164457907361"/>
    <x v="14"/>
    <x v="14"/>
  </r>
  <r>
    <s v="ORD-10811"/>
    <x v="342"/>
    <s v="Donna Davis"/>
    <x v="2"/>
    <s v="Denim Jacket"/>
    <x v="3"/>
    <n v="1"/>
    <n v="7212.6985999999997"/>
    <n v="0"/>
    <n v="7212.6985999999997"/>
    <n v="2613.6806000000001"/>
    <x v="1"/>
    <n v="2024"/>
    <x v="4"/>
    <x v="4"/>
    <n v="0.36237208081868277"/>
    <x v="4"/>
    <x v="4"/>
  </r>
  <r>
    <s v="ORD-10812"/>
    <x v="296"/>
    <s v="Thomas Robinson"/>
    <x v="1"/>
    <s v="Body Lotion"/>
    <x v="1"/>
    <n v="1"/>
    <n v="4554.5419000000002"/>
    <n v="25"/>
    <n v="3416.143"/>
    <n v="1408.0944"/>
    <x v="0"/>
    <n v="2024"/>
    <x v="10"/>
    <x v="17"/>
    <n v="0.4121883656509695"/>
    <x v="17"/>
    <x v="17"/>
  </r>
  <r>
    <s v="ORD-10813"/>
    <x v="490"/>
    <s v="Ashley Johnson"/>
    <x v="3"/>
    <s v="Keyboard Mechanical"/>
    <x v="0"/>
    <n v="4"/>
    <n v="10755.645799999998"/>
    <n v="15"/>
    <n v="36568.817199999998"/>
    <n v="5406.2119000000002"/>
    <x v="0"/>
    <n v="2025"/>
    <x v="9"/>
    <x v="22"/>
    <n v="0.1478366628713384"/>
    <x v="22"/>
    <x v="22"/>
  </r>
  <r>
    <s v="ORD-10814"/>
    <x v="491"/>
    <s v="Kenneth Wilson"/>
    <x v="4"/>
    <s v="Swim Goggles"/>
    <x v="4"/>
    <n v="3"/>
    <n v="4376.6374999999998"/>
    <n v="15"/>
    <n v="11160.662199999999"/>
    <n v="2451.8633"/>
    <x v="0"/>
    <n v="2024"/>
    <x v="10"/>
    <x v="17"/>
    <n v="0.21968797693742584"/>
    <x v="17"/>
    <x v="17"/>
  </r>
  <r>
    <s v="ORD-10815"/>
    <x v="413"/>
    <s v="Kenneth Moore"/>
    <x v="4"/>
    <s v="Perfume Travel"/>
    <x v="1"/>
    <n v="1"/>
    <n v="3863.7428999999997"/>
    <n v="10"/>
    <n v="3477.6524999999997"/>
    <n v="1971.1428999999998"/>
    <x v="0"/>
    <n v="2024"/>
    <x v="6"/>
    <x v="6"/>
    <n v="0.56680272108843532"/>
    <x v="6"/>
    <x v="6"/>
  </r>
  <r>
    <s v="ORD-10816"/>
    <x v="54"/>
    <s v="Thomas Williams"/>
    <x v="0"/>
    <s v="Scented Candle Set"/>
    <x v="2"/>
    <n v="1"/>
    <n v="2379.9444999999996"/>
    <n v="5"/>
    <n v="2260.7107000000001"/>
    <n v="886.68309999999985"/>
    <x v="0"/>
    <n v="2025"/>
    <x v="9"/>
    <x v="22"/>
    <n v="0.39221431561322723"/>
    <x v="22"/>
    <x v="22"/>
  </r>
  <r>
    <s v="ORD-10817"/>
    <x v="330"/>
    <s v="Barbara Jones"/>
    <x v="1"/>
    <s v="Rain Jacket"/>
    <x v="3"/>
    <n v="3"/>
    <n v="7644.2114000000001"/>
    <n v="0"/>
    <n v="22932.6342"/>
    <n v="9328.625399999999"/>
    <x v="0"/>
    <n v="2025"/>
    <x v="8"/>
    <x v="14"/>
    <n v="0.40678385739044315"/>
    <x v="14"/>
    <x v="14"/>
  </r>
  <r>
    <s v="ORD-10818"/>
    <x v="438"/>
    <s v="Joshua Lewis"/>
    <x v="2"/>
    <s v="Wireless Headphones"/>
    <x v="0"/>
    <n v="3"/>
    <n v="12220.518199999999"/>
    <n v="10"/>
    <n v="32995.588400000001"/>
    <n v="4921.7062999999998"/>
    <x v="0"/>
    <n v="2024"/>
    <x v="0"/>
    <x v="0"/>
    <n v="0.14916255592520361"/>
    <x v="0"/>
    <x v="0"/>
  </r>
  <r>
    <s v="ORD-10819"/>
    <x v="484"/>
    <s v="Thomas Robinson"/>
    <x v="1"/>
    <s v="Yoga Mat"/>
    <x v="4"/>
    <n v="1"/>
    <n v="3169.1587"/>
    <n v="15"/>
    <n v="2694.1160999999997"/>
    <n v="670.92669999999998"/>
    <x v="0"/>
    <n v="2025"/>
    <x v="7"/>
    <x v="8"/>
    <n v="0.24903407095187918"/>
    <x v="8"/>
    <x v="8"/>
  </r>
  <r>
    <s v="ORD-10820"/>
    <x v="461"/>
    <s v="Richard Lopez"/>
    <x v="2"/>
    <s v="Blender"/>
    <x v="2"/>
    <n v="1"/>
    <n v="1439.3223"/>
    <n v="10"/>
    <n v="1295.4847"/>
    <n v="489.2371"/>
    <x v="1"/>
    <n v="2024"/>
    <x v="7"/>
    <x v="10"/>
    <n v="0.37764791818845872"/>
    <x v="10"/>
    <x v="10"/>
  </r>
  <r>
    <s v="ORD-10821"/>
    <x v="112"/>
    <s v="Mark Williams"/>
    <x v="1"/>
    <s v="Shampoo Organic"/>
    <x v="1"/>
    <n v="1"/>
    <n v="2883.3761"/>
    <n v="10"/>
    <n v="2594.7546000000002"/>
    <n v="1197.0695000000001"/>
    <x v="1"/>
    <n v="2025"/>
    <x v="9"/>
    <x v="22"/>
    <n v="0.46134208606856308"/>
    <x v="22"/>
    <x v="22"/>
  </r>
  <r>
    <s v="ORD-10822"/>
    <x v="97"/>
    <s v="Dorothy Hernandez"/>
    <x v="0"/>
    <s v="Denim Jacket"/>
    <x v="3"/>
    <n v="2"/>
    <n v="1977.7669999999998"/>
    <n v="5"/>
    <n v="3757.7572999999998"/>
    <n v="1819.7348999999999"/>
    <x v="1"/>
    <n v="2024"/>
    <x v="2"/>
    <x v="2"/>
    <n v="0.48426089146310752"/>
    <x v="2"/>
    <x v="2"/>
  </r>
  <r>
    <s v="ORD-10823"/>
    <x v="492"/>
    <s v="Christopher Clark"/>
    <x v="1"/>
    <s v="Knife Set"/>
    <x v="2"/>
    <n v="1"/>
    <n v="1622.9044999999999"/>
    <n v="15"/>
    <n v="1379.7053999999998"/>
    <n v="326.4735"/>
    <x v="1"/>
    <n v="2024"/>
    <x v="2"/>
    <x v="2"/>
    <n v="0.23662551440329221"/>
    <x v="2"/>
    <x v="2"/>
  </r>
  <r>
    <s v="ORD-10824"/>
    <x v="112"/>
    <s v="Lisa Gonzalez"/>
    <x v="2"/>
    <s v="Door Mat"/>
    <x v="2"/>
    <n v="1"/>
    <n v="3935.6617000000001"/>
    <n v="10"/>
    <n v="3542.0009"/>
    <n v="838.42179999999996"/>
    <x v="2"/>
    <n v="2025"/>
    <x v="9"/>
    <x v="22"/>
    <n v="0.2367085225754742"/>
    <x v="22"/>
    <x v="22"/>
  </r>
  <r>
    <s v="ORD-10825"/>
    <x v="204"/>
    <s v="Sandra Miller"/>
    <x v="3"/>
    <s v="Scented Candle Set"/>
    <x v="2"/>
    <n v="2"/>
    <n v="5024.8530000000001"/>
    <n v="15"/>
    <n v="8542.2500999999993"/>
    <n v="2149.9935999999998"/>
    <x v="0"/>
    <n v="2024"/>
    <x v="11"/>
    <x v="23"/>
    <n v="0.25168937631549793"/>
    <x v="23"/>
    <x v="23"/>
  </r>
  <r>
    <s v="ORD-10826"/>
    <x v="443"/>
    <s v="William Miller"/>
    <x v="1"/>
    <s v="Gym Bag"/>
    <x v="4"/>
    <n v="1"/>
    <n v="2943.9393"/>
    <n v="0"/>
    <n v="2943.9393"/>
    <n v="563.04849999999999"/>
    <x v="1"/>
    <n v="2024"/>
    <x v="11"/>
    <x v="23"/>
    <n v="0.19125683060109289"/>
    <x v="23"/>
    <x v="23"/>
  </r>
  <r>
    <s v="ORD-10827"/>
    <x v="18"/>
    <s v="Joseph Lopez"/>
    <x v="4"/>
    <s v="Hair Oil"/>
    <x v="1"/>
    <n v="1"/>
    <n v="2340.1999000000001"/>
    <n v="15"/>
    <n v="1989.1225999999999"/>
    <n v="1195.1768999999999"/>
    <x v="1"/>
    <n v="2024"/>
    <x v="7"/>
    <x v="10"/>
    <n v="0.6008563273073263"/>
    <x v="10"/>
    <x v="10"/>
  </r>
  <r>
    <s v="ORD-10828"/>
    <x v="228"/>
    <s v="Kenneth Clark"/>
    <x v="3"/>
    <s v="Storage Bins"/>
    <x v="2"/>
    <n v="1"/>
    <n v="7545.7961999999989"/>
    <n v="0"/>
    <n v="7545.7961999999989"/>
    <n v="2857.826"/>
    <x v="2"/>
    <n v="2025"/>
    <x v="10"/>
    <x v="21"/>
    <n v="0.37873087534487088"/>
    <x v="21"/>
    <x v="21"/>
  </r>
  <r>
    <s v="ORD-10829"/>
    <x v="493"/>
    <s v="Carol Thomas"/>
    <x v="4"/>
    <s v="Tablet Case"/>
    <x v="0"/>
    <n v="2"/>
    <n v="7354.6435999999994"/>
    <n v="0"/>
    <n v="14709.287199999999"/>
    <n v="1435.5371"/>
    <x v="1"/>
    <n v="2025"/>
    <x v="5"/>
    <x v="5"/>
    <n v="9.759392691713846E-2"/>
    <x v="5"/>
    <x v="5"/>
  </r>
  <r>
    <s v="ORD-10830"/>
    <x v="229"/>
    <s v="Karen Brown"/>
    <x v="2"/>
    <s v="Tennis Balls"/>
    <x v="4"/>
    <n v="1"/>
    <n v="3451.1560999999997"/>
    <n v="0"/>
    <n v="3451.1560999999997"/>
    <n v="951.9778"/>
    <x v="0"/>
    <n v="2024"/>
    <x v="11"/>
    <x v="23"/>
    <n v="0.27584315876062521"/>
    <x v="23"/>
    <x v="23"/>
  </r>
  <r>
    <s v="ORD-10831"/>
    <x v="375"/>
    <s v="Lisa Moore"/>
    <x v="0"/>
    <s v="Gym Bag"/>
    <x v="4"/>
    <n v="2"/>
    <n v="2013.7264"/>
    <n v="20"/>
    <n v="3222.1514999999995"/>
    <n v="750.41589999999997"/>
    <x v="1"/>
    <n v="2024"/>
    <x v="2"/>
    <x v="2"/>
    <n v="0.23289280469897214"/>
    <x v="2"/>
    <x v="2"/>
  </r>
  <r>
    <s v="ORD-10832"/>
    <x v="453"/>
    <s v="Andrew Smith"/>
    <x v="1"/>
    <s v="Body Lotion"/>
    <x v="1"/>
    <n v="2"/>
    <n v="3266.6276000000003"/>
    <n v="25"/>
    <n v="4899.9413999999997"/>
    <n v="2548.3858999999998"/>
    <x v="2"/>
    <n v="2024"/>
    <x v="3"/>
    <x v="3"/>
    <n v="0.52008497489378136"/>
    <x v="3"/>
    <x v="3"/>
  </r>
  <r>
    <s v="ORD-10833"/>
    <x v="77"/>
    <s v="Robert Perez"/>
    <x v="4"/>
    <s v="Cargo Shorts"/>
    <x v="3"/>
    <n v="5"/>
    <n v="2651.5326"/>
    <n v="20"/>
    <n v="10606.1304"/>
    <n v="4558.3270999999995"/>
    <x v="0"/>
    <n v="2025"/>
    <x v="7"/>
    <x v="8"/>
    <n v="0.42978229835831544"/>
    <x v="8"/>
    <x v="8"/>
  </r>
  <r>
    <s v="ORD-10834"/>
    <x v="368"/>
    <s v="Linda Taylor"/>
    <x v="1"/>
    <s v="Pillow Set"/>
    <x v="2"/>
    <n v="5"/>
    <n v="5325.7763999999997"/>
    <n v="0"/>
    <n v="26628.881999999998"/>
    <n v="9697.6823999999997"/>
    <x v="1"/>
    <n v="2024"/>
    <x v="11"/>
    <x v="23"/>
    <n v="0.36417910447761198"/>
    <x v="23"/>
    <x v="23"/>
  </r>
  <r>
    <s v="ORD-10835"/>
    <x v="494"/>
    <s v="William Anderson"/>
    <x v="0"/>
    <s v="Water Bottle"/>
    <x v="4"/>
    <n v="1"/>
    <n v="4324.5910000000003"/>
    <n v="5"/>
    <n v="4108.8346000000001"/>
    <n v="899.93129999999996"/>
    <x v="0"/>
    <n v="2024"/>
    <x v="1"/>
    <x v="11"/>
    <n v="0.21902349147858127"/>
    <x v="11"/>
    <x v="11"/>
  </r>
  <r>
    <s v="ORD-10836"/>
    <x v="460"/>
    <s v="Sarah Clark"/>
    <x v="3"/>
    <s v="Coffee Maker"/>
    <x v="2"/>
    <n v="2"/>
    <n v="3426.5522999999998"/>
    <n v="0"/>
    <n v="6853.1045999999997"/>
    <n v="1681.5750999999998"/>
    <x v="0"/>
    <n v="2024"/>
    <x v="11"/>
    <x v="23"/>
    <n v="0.24537420602043633"/>
    <x v="23"/>
    <x v="23"/>
  </r>
  <r>
    <s v="ORD-10837"/>
    <x v="472"/>
    <s v="Barbara Martinez"/>
    <x v="3"/>
    <s v="Laptop Stand"/>
    <x v="0"/>
    <n v="1"/>
    <n v="9312.5382999999983"/>
    <n v="15"/>
    <n v="7915.7995000000001"/>
    <n v="1301.1624999999999"/>
    <x v="0"/>
    <n v="2024"/>
    <x v="8"/>
    <x v="12"/>
    <n v="0.1643753735803945"/>
    <x v="12"/>
    <x v="12"/>
  </r>
  <r>
    <s v="ORD-10838"/>
    <x v="217"/>
    <s v="Andrew Taylor"/>
    <x v="2"/>
    <s v="Webcam HD"/>
    <x v="0"/>
    <n v="2"/>
    <n v="13793.268799999998"/>
    <n v="10"/>
    <n v="24828.073099999998"/>
    <n v="4118.2975999999999"/>
    <x v="1"/>
    <n v="2025"/>
    <x v="2"/>
    <x v="9"/>
    <n v="0.16587262263216071"/>
    <x v="9"/>
    <x v="9"/>
  </r>
  <r>
    <s v="ORD-10839"/>
    <x v="123"/>
    <s v="Michael Robinson"/>
    <x v="2"/>
    <s v="Bluetooth Speaker"/>
    <x v="0"/>
    <n v="1"/>
    <n v="6344.941499999999"/>
    <n v="0"/>
    <n v="6344.941499999999"/>
    <n v="1295.4847"/>
    <x v="0"/>
    <n v="2025"/>
    <x v="2"/>
    <x v="9"/>
    <n v="0.20417598806860554"/>
    <x v="9"/>
    <x v="9"/>
  </r>
  <r>
    <s v="ORD-10840"/>
    <x v="495"/>
    <s v="Lisa Lee"/>
    <x v="2"/>
    <s v="Polo Shirt"/>
    <x v="3"/>
    <n v="4"/>
    <n v="7973.5237999999999"/>
    <n v="10"/>
    <n v="28705.064199999997"/>
    <n v="12287.705499999998"/>
    <x v="1"/>
    <n v="2024"/>
    <x v="3"/>
    <x v="3"/>
    <n v="0.42806751499967033"/>
    <x v="3"/>
    <x v="3"/>
  </r>
  <r>
    <s v="ORD-10841"/>
    <x v="134"/>
    <s v="Donald Harris"/>
    <x v="3"/>
    <s v="Tennis Balls"/>
    <x v="4"/>
    <n v="4"/>
    <n v="3935.6617000000001"/>
    <n v="20"/>
    <n v="12594.306699999999"/>
    <n v="3064.1194"/>
    <x v="0"/>
    <n v="2025"/>
    <x v="8"/>
    <x v="14"/>
    <n v="0.2432940115711173"/>
    <x v="14"/>
    <x v="14"/>
  </r>
  <r>
    <s v="ORD-10842"/>
    <x v="496"/>
    <s v="Matthew Wilson"/>
    <x v="2"/>
    <s v="Casual Sneakers"/>
    <x v="3"/>
    <n v="1"/>
    <n v="3573.2287999999999"/>
    <n v="0"/>
    <n v="3573.2287999999999"/>
    <n v="1421.3425999999999"/>
    <x v="0"/>
    <n v="2025"/>
    <x v="6"/>
    <x v="20"/>
    <n v="0.39777542372881358"/>
    <x v="20"/>
    <x v="20"/>
  </r>
  <r>
    <s v="ORD-10843"/>
    <x v="49"/>
    <s v="Carol Wilson"/>
    <x v="4"/>
    <s v="Nail Polish Set"/>
    <x v="1"/>
    <n v="2"/>
    <n v="797.73089999999991"/>
    <n v="20"/>
    <n v="1276.5587"/>
    <n v="789.21420000000001"/>
    <x v="2"/>
    <n v="2025"/>
    <x v="3"/>
    <x v="7"/>
    <n v="0.6182357301704966"/>
    <x v="7"/>
    <x v="7"/>
  </r>
  <r>
    <s v="ORD-10844"/>
    <x v="480"/>
    <s v="Matthew Sanchez"/>
    <x v="2"/>
    <s v="Eye Cream"/>
    <x v="1"/>
    <n v="1"/>
    <n v="2456.5947999999999"/>
    <n v="0"/>
    <n v="2456.5947999999999"/>
    <n v="1511.2411"/>
    <x v="2"/>
    <n v="2024"/>
    <x v="8"/>
    <x v="12"/>
    <n v="0.61517719568567031"/>
    <x v="12"/>
    <x v="12"/>
  </r>
  <r>
    <s v="ORD-10845"/>
    <x v="422"/>
    <s v="Kenneth Williams"/>
    <x v="2"/>
    <s v="Body Lotion"/>
    <x v="1"/>
    <n v="1"/>
    <n v="4282.0074999999997"/>
    <n v="10"/>
    <n v="3854.2798999999995"/>
    <n v="1680.6288"/>
    <x v="1"/>
    <n v="2024"/>
    <x v="2"/>
    <x v="2"/>
    <n v="0.43604222931500125"/>
    <x v="2"/>
    <x v="2"/>
  </r>
  <r>
    <s v="ORD-10846"/>
    <x v="418"/>
    <s v="Michelle Clark"/>
    <x v="0"/>
    <s v="Knife Set"/>
    <x v="2"/>
    <n v="3"/>
    <n v="2974.2208999999998"/>
    <n v="20"/>
    <n v="7137.9409000000005"/>
    <n v="2530.4061999999999"/>
    <x v="1"/>
    <n v="2025"/>
    <x v="6"/>
    <x v="20"/>
    <n v="0.35450086172610362"/>
    <x v="20"/>
    <x v="20"/>
  </r>
  <r>
    <s v="ORD-10847"/>
    <x v="52"/>
    <s v="Daniel Ramirez"/>
    <x v="1"/>
    <s v="Perfume Travel"/>
    <x v="1"/>
    <n v="2"/>
    <n v="3985.8155999999994"/>
    <n v="0"/>
    <n v="7971.6311999999989"/>
    <n v="3463.4580000000001"/>
    <x v="0"/>
    <n v="2025"/>
    <x v="3"/>
    <x v="7"/>
    <n v="0.43447293447293456"/>
    <x v="7"/>
    <x v="7"/>
  </r>
  <r>
    <s v="ORD-10848"/>
    <x v="58"/>
    <s v="Michelle Williams"/>
    <x v="1"/>
    <s v="Body Lotion"/>
    <x v="1"/>
    <n v="1"/>
    <n v="1506.5095999999999"/>
    <n v="10"/>
    <n v="1356.0479"/>
    <n v="658.62479999999994"/>
    <x v="0"/>
    <n v="2025"/>
    <x v="3"/>
    <x v="7"/>
    <n v="0.48569434752267965"/>
    <x v="7"/>
    <x v="7"/>
  </r>
  <r>
    <s v="ORD-10849"/>
    <x v="437"/>
    <s v="Joseph Brown"/>
    <x v="0"/>
    <s v="Eye Cream"/>
    <x v="1"/>
    <n v="2"/>
    <n v="2828.4906999999998"/>
    <n v="0"/>
    <n v="5656.9813999999997"/>
    <n v="2852.1482000000001"/>
    <x v="0"/>
    <n v="2025"/>
    <x v="9"/>
    <x v="22"/>
    <n v="0.50418200066912011"/>
    <x v="22"/>
    <x v="22"/>
  </r>
  <r>
    <s v="ORD-10850"/>
    <x v="414"/>
    <s v="Betty Martinez"/>
    <x v="0"/>
    <s v="Resistance Bands"/>
    <x v="4"/>
    <n v="1"/>
    <n v="2851.2018999999996"/>
    <n v="10"/>
    <n v="2566.3656000000001"/>
    <n v="886.68309999999985"/>
    <x v="0"/>
    <n v="2025"/>
    <x v="0"/>
    <x v="13"/>
    <n v="0.3455014749262536"/>
    <x v="13"/>
    <x v="13"/>
  </r>
  <r>
    <s v="ORD-10851"/>
    <x v="236"/>
    <s v="Kimberly Smith"/>
    <x v="3"/>
    <s v="Laptop Stand"/>
    <x v="0"/>
    <n v="3"/>
    <n v="8943.4812999999995"/>
    <n v="15"/>
    <n v="22805.829999999998"/>
    <n v="4645.3867"/>
    <x v="0"/>
    <n v="2025"/>
    <x v="6"/>
    <x v="20"/>
    <n v="0.2036929460580913"/>
    <x v="20"/>
    <x v="20"/>
  </r>
  <r>
    <s v="ORD-10852"/>
    <x v="215"/>
    <s v="Linda Wilson"/>
    <x v="0"/>
    <s v="Denim Jacket"/>
    <x v="3"/>
    <n v="2"/>
    <n v="4317.9669000000004"/>
    <n v="0"/>
    <n v="8635.9338000000007"/>
    <n v="3152.1253000000002"/>
    <x v="2"/>
    <n v="2025"/>
    <x v="4"/>
    <x v="16"/>
    <n v="0.36500109577032652"/>
    <x v="16"/>
    <x v="16"/>
  </r>
  <r>
    <s v="ORD-10853"/>
    <x v="497"/>
    <s v="Betty Rodriguez"/>
    <x v="1"/>
    <s v="Eye Cream"/>
    <x v="1"/>
    <n v="3"/>
    <n v="1072.1578999999999"/>
    <n v="5"/>
    <n v="3055.6026999999999"/>
    <n v="1565.1801999999998"/>
    <x v="0"/>
    <n v="2025"/>
    <x v="2"/>
    <x v="9"/>
    <n v="0.51223288943945489"/>
    <x v="9"/>
    <x v="9"/>
  </r>
  <r>
    <s v="ORD-10854"/>
    <x v="487"/>
    <s v="William Wilson"/>
    <x v="4"/>
    <s v="Casual Sneakers"/>
    <x v="3"/>
    <n v="1"/>
    <n v="4525.2065999999995"/>
    <n v="20"/>
    <n v="3620.5437999999995"/>
    <n v="1167.7341999999999"/>
    <x v="2"/>
    <n v="2024"/>
    <x v="5"/>
    <x v="18"/>
    <n v="0.32253005750130687"/>
    <x v="18"/>
    <x v="18"/>
  </r>
  <r>
    <s v="ORD-10855"/>
    <x v="165"/>
    <s v="Elizabeth Taylor"/>
    <x v="2"/>
    <s v="Keyboard Mechanical"/>
    <x v="0"/>
    <n v="1"/>
    <n v="8044.4962999999998"/>
    <n v="10"/>
    <n v="7240.1413000000002"/>
    <n v="625.50429999999994"/>
    <x v="1"/>
    <n v="2025"/>
    <x v="7"/>
    <x v="8"/>
    <n v="8.6393935433276683E-2"/>
    <x v="8"/>
    <x v="8"/>
  </r>
  <r>
    <s v="ORD-10856"/>
    <x v="101"/>
    <s v="Betty Sanchez"/>
    <x v="4"/>
    <s v="Swim Goggles"/>
    <x v="4"/>
    <n v="1"/>
    <n v="4546.9714999999997"/>
    <n v="5"/>
    <n v="4319.8594999999996"/>
    <n v="1503.6706999999999"/>
    <x v="1"/>
    <n v="2025"/>
    <x v="5"/>
    <x v="5"/>
    <n v="0.3480832420591457"/>
    <x v="5"/>
    <x v="5"/>
  </r>
  <r>
    <s v="ORD-10857"/>
    <x v="388"/>
    <s v="Kenneth White"/>
    <x v="3"/>
    <s v="Pillow Set"/>
    <x v="2"/>
    <n v="1"/>
    <n v="1521.6503999999998"/>
    <n v="0"/>
    <n v="1521.6503999999998"/>
    <n v="587.65229999999997"/>
    <x v="0"/>
    <n v="2025"/>
    <x v="8"/>
    <x v="14"/>
    <n v="0.3861940298507463"/>
    <x v="14"/>
    <x v="14"/>
  </r>
  <r>
    <s v="ORD-10858"/>
    <x v="498"/>
    <s v="Elizabeth Davis"/>
    <x v="0"/>
    <s v="Blender"/>
    <x v="2"/>
    <n v="1"/>
    <n v="3875.0985000000001"/>
    <n v="0"/>
    <n v="3875.0985000000001"/>
    <n v="976.58159999999998"/>
    <x v="0"/>
    <n v="2024"/>
    <x v="5"/>
    <x v="18"/>
    <n v="0.25201465201465201"/>
    <x v="18"/>
    <x v="18"/>
  </r>
  <r>
    <s v="ORD-10859"/>
    <x v="499"/>
    <s v="Kenneth Anderson"/>
    <x v="2"/>
    <s v="Storage Bins"/>
    <x v="2"/>
    <n v="1"/>
    <n v="2936.3688999999999"/>
    <n v="0"/>
    <n v="2936.3688999999999"/>
    <n v="1095.8154"/>
    <x v="1"/>
    <n v="2024"/>
    <x v="10"/>
    <x v="17"/>
    <n v="0.37318723815662264"/>
    <x v="17"/>
    <x v="17"/>
  </r>
  <r>
    <s v="ORD-10860"/>
    <x v="108"/>
    <s v="Sarah Hernandez"/>
    <x v="2"/>
    <s v="Coffee Maker"/>
    <x v="2"/>
    <n v="4"/>
    <n v="6010.8976000000002"/>
    <n v="0"/>
    <n v="24043.590400000001"/>
    <n v="7841.0418"/>
    <x v="0"/>
    <n v="2024"/>
    <x v="5"/>
    <x v="18"/>
    <n v="0.32611775818639799"/>
    <x v="18"/>
    <x v="18"/>
  </r>
  <r>
    <s v="ORD-10861"/>
    <x v="352"/>
    <s v="Richard Lee"/>
    <x v="0"/>
    <s v="Blender"/>
    <x v="2"/>
    <n v="3"/>
    <n v="6779.2932000000001"/>
    <n v="10"/>
    <n v="18304.280900000002"/>
    <n v="5632.3775999999998"/>
    <x v="0"/>
    <n v="2025"/>
    <x v="7"/>
    <x v="8"/>
    <n v="0.30770821485808814"/>
    <x v="8"/>
    <x v="8"/>
  </r>
  <r>
    <s v="ORD-10862"/>
    <x v="14"/>
    <s v="Michael Martinez"/>
    <x v="4"/>
    <s v="Wireless Headphones"/>
    <x v="0"/>
    <n v="1"/>
    <n v="13911.556299999998"/>
    <n v="15"/>
    <n v="11824.9648"/>
    <n v="1983.4448"/>
    <x v="0"/>
    <n v="2024"/>
    <x v="3"/>
    <x v="3"/>
    <n v="0.16773367477592829"/>
    <x v="3"/>
    <x v="3"/>
  </r>
  <r>
    <s v="ORD-10863"/>
    <x v="287"/>
    <s v="Sandra Perez"/>
    <x v="1"/>
    <s v="Desk Lamp"/>
    <x v="2"/>
    <n v="1"/>
    <n v="1827.3052999999998"/>
    <n v="25"/>
    <n v="1370.2423999999999"/>
    <n v="386.09039999999999"/>
    <x v="0"/>
    <n v="2025"/>
    <x v="2"/>
    <x v="9"/>
    <n v="0.28176795580110497"/>
    <x v="9"/>
    <x v="9"/>
  </r>
  <r>
    <s v="ORD-10864"/>
    <x v="300"/>
    <s v="Daniel Thomas"/>
    <x v="3"/>
    <s v="Pillow Set"/>
    <x v="2"/>
    <n v="2"/>
    <n v="4581.0382999999993"/>
    <n v="0"/>
    <n v="9162.0765999999985"/>
    <n v="2554.0636999999997"/>
    <x v="2"/>
    <n v="2024"/>
    <x v="6"/>
    <x v="6"/>
    <n v="0.2787647180334642"/>
    <x v="6"/>
    <x v="6"/>
  </r>
  <r>
    <s v="ORD-10865"/>
    <x v="500"/>
    <s v="Paul Lee"/>
    <x v="0"/>
    <s v="Water Bottle"/>
    <x v="4"/>
    <n v="2"/>
    <n v="2674.2438000000002"/>
    <n v="0"/>
    <n v="5348.4876000000004"/>
    <n v="1220.7269999999999"/>
    <x v="0"/>
    <n v="2024"/>
    <x v="7"/>
    <x v="10"/>
    <n v="0.2282377919320594"/>
    <x v="10"/>
    <x v="10"/>
  </r>
  <r>
    <s v="ORD-10866"/>
    <x v="471"/>
    <s v="Karen Martinez"/>
    <x v="0"/>
    <s v="Pillow Set"/>
    <x v="2"/>
    <n v="1"/>
    <n v="4897.1025"/>
    <n v="0"/>
    <n v="4897.1025"/>
    <n v="1885.9758999999999"/>
    <x v="0"/>
    <n v="2025"/>
    <x v="2"/>
    <x v="9"/>
    <n v="0.38512077294685987"/>
    <x v="9"/>
    <x v="9"/>
  </r>
  <r>
    <s v="ORD-10867"/>
    <x v="501"/>
    <s v="Ashley Martin"/>
    <x v="3"/>
    <s v="Body Lotion"/>
    <x v="1"/>
    <n v="4"/>
    <n v="3678.2680999999998"/>
    <n v="25"/>
    <n v="11034.8043"/>
    <n v="6858.7824000000001"/>
    <x v="0"/>
    <n v="2025"/>
    <x v="0"/>
    <x v="13"/>
    <n v="0.62155904296372522"/>
    <x v="13"/>
    <x v="13"/>
  </r>
  <r>
    <s v="ORD-10868"/>
    <x v="197"/>
    <s v="Jessica Smith"/>
    <x v="2"/>
    <s v="Athletic Socks"/>
    <x v="3"/>
    <n v="2"/>
    <n v="4503.4417000000003"/>
    <n v="10"/>
    <n v="8106.005799999999"/>
    <n v="3045.1933999999997"/>
    <x v="0"/>
    <n v="2025"/>
    <x v="9"/>
    <x v="22"/>
    <n v="0.3756712584636937"/>
    <x v="22"/>
    <x v="22"/>
  </r>
  <r>
    <s v="ORD-10869"/>
    <x v="502"/>
    <s v="Anthony Harris"/>
    <x v="2"/>
    <s v="Scented Candle Set"/>
    <x v="2"/>
    <n v="1"/>
    <n v="2917.4428999999996"/>
    <n v="10"/>
    <n v="2625.9825000000001"/>
    <n v="639.69880000000001"/>
    <x v="0"/>
    <n v="2024"/>
    <x v="11"/>
    <x v="23"/>
    <n v="0.24360360360360359"/>
    <x v="23"/>
    <x v="23"/>
  </r>
  <r>
    <s v="ORD-10870"/>
    <x v="49"/>
    <s v="Karen Martinez"/>
    <x v="1"/>
    <s v="Hair Oil"/>
    <x v="1"/>
    <n v="3"/>
    <n v="3296.9092000000001"/>
    <n v="15"/>
    <n v="8406.9292000000005"/>
    <n v="4925.4914999999992"/>
    <x v="0"/>
    <n v="2025"/>
    <x v="3"/>
    <x v="7"/>
    <n v="0.58588473660513274"/>
    <x v="7"/>
    <x v="7"/>
  </r>
  <r>
    <s v="ORD-10871"/>
    <x v="58"/>
    <s v="Kimberly Thomas"/>
    <x v="0"/>
    <s v="Jump Rope"/>
    <x v="4"/>
    <n v="4"/>
    <n v="5393.91"/>
    <n v="0"/>
    <n v="21575.64"/>
    <n v="5985.3474999999999"/>
    <x v="0"/>
    <n v="2025"/>
    <x v="3"/>
    <x v="7"/>
    <n v="0.27741228070175439"/>
    <x v="7"/>
    <x v="7"/>
  </r>
  <r>
    <s v="ORD-10872"/>
    <x v="411"/>
    <s v="Joseph Robinson"/>
    <x v="3"/>
    <s v="Shampoo Organic"/>
    <x v="1"/>
    <n v="1"/>
    <n v="2907.0335999999998"/>
    <n v="5"/>
    <n v="2761.3033999999998"/>
    <n v="1612.4951999999998"/>
    <x v="1"/>
    <n v="2025"/>
    <x v="5"/>
    <x v="5"/>
    <n v="0.58396161754626452"/>
    <x v="5"/>
    <x v="5"/>
  </r>
  <r>
    <s v="ORD-10873"/>
    <x v="503"/>
    <s v="David Davis"/>
    <x v="4"/>
    <s v="Face Mask Pack"/>
    <x v="1"/>
    <n v="1"/>
    <n v="2486.8764000000001"/>
    <n v="0"/>
    <n v="2486.8764000000001"/>
    <n v="1151.6470999999999"/>
    <x v="1"/>
    <n v="2024"/>
    <x v="4"/>
    <x v="4"/>
    <n v="0.46308980213089795"/>
    <x v="4"/>
    <x v="4"/>
  </r>
  <r>
    <s v="ORD-10874"/>
    <x v="309"/>
    <s v="Michelle Jackson"/>
    <x v="2"/>
    <s v="Throw Blanket"/>
    <x v="2"/>
    <n v="2"/>
    <n v="2463.2188999999998"/>
    <n v="0"/>
    <n v="4926.4377999999997"/>
    <n v="1145.0229999999999"/>
    <x v="1"/>
    <n v="2025"/>
    <x v="8"/>
    <x v="14"/>
    <n v="0.23242412600845178"/>
    <x v="14"/>
    <x v="14"/>
  </r>
  <r>
    <s v="ORD-10875"/>
    <x v="324"/>
    <s v="Robert White"/>
    <x v="4"/>
    <s v="Dumbbells 10lb"/>
    <x v="4"/>
    <n v="2"/>
    <n v="2768.8737999999998"/>
    <n v="5"/>
    <n v="5260.4817000000003"/>
    <n v="1517.8652"/>
    <x v="0"/>
    <n v="2024"/>
    <x v="2"/>
    <x v="2"/>
    <n v="0.28854110451520054"/>
    <x v="2"/>
    <x v="2"/>
  </r>
  <r>
    <s v="ORD-10876"/>
    <x v="504"/>
    <s v="Joshua Smith"/>
    <x v="0"/>
    <s v="Coffee Maker"/>
    <x v="2"/>
    <n v="2"/>
    <n v="3431.2837999999997"/>
    <n v="0"/>
    <n v="6862.5675999999994"/>
    <n v="2366.6963000000001"/>
    <x v="1"/>
    <n v="2024"/>
    <x v="10"/>
    <x v="17"/>
    <n v="0.34487038058466635"/>
    <x v="17"/>
    <x v="17"/>
  </r>
  <r>
    <s v="ORD-10877"/>
    <x v="318"/>
    <s v="Jessica Robinson"/>
    <x v="3"/>
    <s v="Webcam HD"/>
    <x v="0"/>
    <n v="2"/>
    <n v="9456.3759000000009"/>
    <n v="10"/>
    <n v="17021.098099999999"/>
    <n v="3722.7442000000001"/>
    <x v="1"/>
    <n v="2025"/>
    <x v="8"/>
    <x v="14"/>
    <n v="0.21871351531661756"/>
    <x v="14"/>
    <x v="14"/>
  </r>
  <r>
    <s v="ORD-10878"/>
    <x v="505"/>
    <s v="Mary Ramirez"/>
    <x v="0"/>
    <s v="Eye Cream"/>
    <x v="1"/>
    <n v="3"/>
    <n v="4467.4822999999997"/>
    <n v="10"/>
    <n v="12062.4861"/>
    <n v="6781.1857999999993"/>
    <x v="0"/>
    <n v="2025"/>
    <x v="6"/>
    <x v="20"/>
    <n v="0.56217149133129363"/>
    <x v="20"/>
    <x v="20"/>
  </r>
  <r>
    <s v="ORD-10879"/>
    <x v="229"/>
    <s v="Kevin Martin"/>
    <x v="4"/>
    <s v="Cargo Shorts"/>
    <x v="3"/>
    <n v="1"/>
    <n v="8036.9259000000002"/>
    <n v="15"/>
    <n v="6831.3396999999995"/>
    <n v="3590.2621999999997"/>
    <x v="1"/>
    <n v="2024"/>
    <x v="11"/>
    <x v="23"/>
    <n v="0.52555755644826152"/>
    <x v="23"/>
    <x v="23"/>
  </r>
  <r>
    <s v="ORD-10880"/>
    <x v="129"/>
    <s v="Daniel Lee"/>
    <x v="4"/>
    <s v="Knife Set"/>
    <x v="2"/>
    <n v="2"/>
    <n v="1733.6215999999999"/>
    <n v="25"/>
    <n v="2600.4323999999997"/>
    <n v="590.49119999999994"/>
    <x v="1"/>
    <n v="2024"/>
    <x v="9"/>
    <x v="15"/>
    <n v="0.22707423580786026"/>
    <x v="15"/>
    <x v="15"/>
  </r>
  <r>
    <s v="ORD-10881"/>
    <x v="73"/>
    <s v="Sarah Taylor"/>
    <x v="4"/>
    <s v="Face Mask Pack"/>
    <x v="1"/>
    <n v="3"/>
    <n v="1161.1100999999999"/>
    <n v="0"/>
    <n v="3483.3303000000001"/>
    <n v="1896.3851999999999"/>
    <x v="0"/>
    <n v="2024"/>
    <x v="5"/>
    <x v="18"/>
    <n v="0.54441727791361039"/>
    <x v="18"/>
    <x v="18"/>
  </r>
  <r>
    <s v="ORD-10882"/>
    <x v="357"/>
    <s v="Karen Clark"/>
    <x v="1"/>
    <s v="Door Mat"/>
    <x v="2"/>
    <n v="2"/>
    <n v="1469.6038999999998"/>
    <n v="25"/>
    <n v="2204.8789999999999"/>
    <n v="653.89329999999995"/>
    <x v="0"/>
    <n v="2024"/>
    <x v="2"/>
    <x v="2"/>
    <n v="0.29656652360515023"/>
    <x v="2"/>
    <x v="2"/>
  </r>
  <r>
    <s v="ORD-10883"/>
    <x v="506"/>
    <s v="Lisa Hernandez"/>
    <x v="1"/>
    <s v="Tablet Case"/>
    <x v="0"/>
    <n v="5"/>
    <n v="8386.1106"/>
    <n v="5"/>
    <n v="39834.498499999994"/>
    <n v="6972.3384000000005"/>
    <x v="1"/>
    <n v="2025"/>
    <x v="7"/>
    <x v="8"/>
    <n v="0.1750326642119017"/>
    <x v="8"/>
    <x v="8"/>
  </r>
  <r>
    <s v="ORD-10884"/>
    <x v="239"/>
    <s v="James Robinson"/>
    <x v="0"/>
    <s v="Knife Set"/>
    <x v="2"/>
    <n v="2"/>
    <n v="1335.2293"/>
    <n v="10"/>
    <n v="2403.6019999999999"/>
    <n v="704.99349999999993"/>
    <x v="1"/>
    <n v="2025"/>
    <x v="6"/>
    <x v="20"/>
    <n v="0.29330708661417321"/>
    <x v="20"/>
    <x v="20"/>
  </r>
  <r>
    <s v="ORD-10885"/>
    <x v="223"/>
    <s v="Sarah Harris"/>
    <x v="0"/>
    <s v="Webcam HD"/>
    <x v="0"/>
    <n v="1"/>
    <n v="11837.2667"/>
    <n v="0"/>
    <n v="11837.2667"/>
    <n v="2138.6379999999999"/>
    <x v="1"/>
    <n v="2025"/>
    <x v="4"/>
    <x v="16"/>
    <n v="0.18066991765928531"/>
    <x v="16"/>
    <x v="16"/>
  </r>
  <r>
    <s v="ORD-10886"/>
    <x v="456"/>
    <s v="Robert Harris"/>
    <x v="0"/>
    <s v="Hair Oil"/>
    <x v="1"/>
    <n v="1"/>
    <n v="1164.8952999999999"/>
    <n v="10"/>
    <n v="1048.5003999999999"/>
    <n v="442.86839999999995"/>
    <x v="2"/>
    <n v="2024"/>
    <x v="3"/>
    <x v="3"/>
    <n v="0.42238267148014441"/>
    <x v="3"/>
    <x v="3"/>
  </r>
  <r>
    <s v="ORD-10887"/>
    <x v="25"/>
    <s v="Anthony Harris"/>
    <x v="1"/>
    <s v="Cargo Shorts"/>
    <x v="3"/>
    <n v="4"/>
    <n v="8101.2742999999991"/>
    <n v="0"/>
    <n v="32405.097199999997"/>
    <n v="15767.250599999999"/>
    <x v="0"/>
    <n v="2024"/>
    <x v="9"/>
    <x v="15"/>
    <n v="0.4865669898376358"/>
    <x v="15"/>
    <x v="15"/>
  </r>
  <r>
    <s v="ORD-10888"/>
    <x v="507"/>
    <s v="Jessica Jackson"/>
    <x v="1"/>
    <s v="Athletic Socks"/>
    <x v="3"/>
    <n v="2"/>
    <n v="3493.7395999999999"/>
    <n v="10"/>
    <n v="6289.1097999999993"/>
    <n v="2932.5836999999997"/>
    <x v="1"/>
    <n v="2025"/>
    <x v="6"/>
    <x v="20"/>
    <n v="0.46629551609990971"/>
    <x v="20"/>
    <x v="20"/>
  </r>
  <r>
    <s v="ORD-10889"/>
    <x v="123"/>
    <s v="Michael Brown"/>
    <x v="1"/>
    <s v="Hair Oil"/>
    <x v="1"/>
    <n v="1"/>
    <n v="999.29279999999994"/>
    <n v="10"/>
    <n v="898.9849999999999"/>
    <n v="458.95549999999997"/>
    <x v="0"/>
    <n v="2025"/>
    <x v="2"/>
    <x v="9"/>
    <n v="0.51052631578947372"/>
    <x v="9"/>
    <x v="9"/>
  </r>
  <r>
    <s v="ORD-10890"/>
    <x v="508"/>
    <s v="Andrew Ramirez"/>
    <x v="2"/>
    <s v="Pillow Set"/>
    <x v="2"/>
    <n v="4"/>
    <n v="5649.4110000000001"/>
    <n v="25"/>
    <n v="16948.233"/>
    <n v="5715.652"/>
    <x v="0"/>
    <n v="2024"/>
    <x v="6"/>
    <x v="6"/>
    <n v="0.33724176437744274"/>
    <x v="6"/>
    <x v="6"/>
  </r>
  <r>
    <s v="ORD-10891"/>
    <x v="367"/>
    <s v="Andrew Jones"/>
    <x v="1"/>
    <s v="Wireless Headphones"/>
    <x v="0"/>
    <n v="1"/>
    <n v="11099.152700000001"/>
    <n v="10"/>
    <n v="9989.1427999999996"/>
    <n v="2372.3741"/>
    <x v="0"/>
    <n v="2025"/>
    <x v="7"/>
    <x v="8"/>
    <n v="0.23749526335733234"/>
    <x v="8"/>
    <x v="8"/>
  </r>
  <r>
    <s v="ORD-10892"/>
    <x v="509"/>
    <s v="Robert Taylor"/>
    <x v="3"/>
    <s v="Cotton T-Shirt"/>
    <x v="3"/>
    <n v="1"/>
    <n v="5470.5603000000001"/>
    <n v="5"/>
    <n v="5197.0796"/>
    <n v="1965.4650999999999"/>
    <x v="0"/>
    <n v="2024"/>
    <x v="8"/>
    <x v="12"/>
    <n v="0.37818645302257825"/>
    <x v="12"/>
    <x v="12"/>
  </r>
  <r>
    <s v="ORD-10893"/>
    <x v="108"/>
    <s v="James Garcia"/>
    <x v="1"/>
    <s v="Throw Blanket"/>
    <x v="2"/>
    <n v="2"/>
    <n v="7151.1890999999987"/>
    <n v="10"/>
    <n v="12872.518899999999"/>
    <n v="2879.5908999999997"/>
    <x v="0"/>
    <n v="2024"/>
    <x v="5"/>
    <x v="18"/>
    <n v="0.22370065426744098"/>
    <x v="18"/>
    <x v="18"/>
  </r>
  <r>
    <s v="ORD-10894"/>
    <x v="389"/>
    <s v="Robert Hernandez"/>
    <x v="2"/>
    <s v="Running Shoes"/>
    <x v="3"/>
    <n v="2"/>
    <n v="4630.2458999999999"/>
    <n v="25"/>
    <n v="6945.8420000000006"/>
    <n v="2738.5922"/>
    <x v="1"/>
    <n v="2025"/>
    <x v="3"/>
    <x v="7"/>
    <n v="0.39427792915531334"/>
    <x v="7"/>
    <x v="7"/>
  </r>
  <r>
    <s v="ORD-10895"/>
    <x v="264"/>
    <s v="Michael Jackson"/>
    <x v="2"/>
    <s v="Face Mask Pack"/>
    <x v="1"/>
    <n v="2"/>
    <n v="2175.5436999999997"/>
    <n v="5"/>
    <n v="4133.4384"/>
    <n v="2640.1769999999997"/>
    <x v="0"/>
    <n v="2024"/>
    <x v="5"/>
    <x v="18"/>
    <n v="0.63873626373626369"/>
    <x v="18"/>
    <x v="18"/>
  </r>
  <r>
    <s v="ORD-10896"/>
    <x v="99"/>
    <s v="Christopher Wilson"/>
    <x v="1"/>
    <s v="Polo Shirt"/>
    <x v="3"/>
    <n v="1"/>
    <n v="8229.9710999999988"/>
    <n v="0"/>
    <n v="8229.9710999999988"/>
    <n v="3877.9373999999993"/>
    <x v="1"/>
    <n v="2025"/>
    <x v="2"/>
    <x v="9"/>
    <n v="0.47119696447050707"/>
    <x v="9"/>
    <x v="9"/>
  </r>
  <r>
    <s v="ORD-10897"/>
    <x v="510"/>
    <s v="Carol Ramirez"/>
    <x v="2"/>
    <s v="Portable Charger"/>
    <x v="0"/>
    <n v="1"/>
    <n v="14017.541899999998"/>
    <n v="0"/>
    <n v="14017.541899999998"/>
    <n v="2585.2916"/>
    <x v="0"/>
    <n v="2024"/>
    <x v="4"/>
    <x v="4"/>
    <n v="0.18443259299264161"/>
    <x v="4"/>
    <x v="4"/>
  </r>
  <r>
    <s v="ORD-10898"/>
    <x v="464"/>
    <s v="Anthony Miller"/>
    <x v="0"/>
    <s v="Portable Charger"/>
    <x v="0"/>
    <n v="1"/>
    <n v="13816.926299999999"/>
    <n v="0"/>
    <n v="13816.926299999999"/>
    <n v="1905.8481999999999"/>
    <x v="0"/>
    <n v="2024"/>
    <x v="9"/>
    <x v="15"/>
    <n v="0.13793575782480652"/>
    <x v="15"/>
    <x v="15"/>
  </r>
  <r>
    <s v="ORD-10899"/>
    <x v="295"/>
    <s v="Jennifer Davis"/>
    <x v="4"/>
    <s v="Storage Bins"/>
    <x v="2"/>
    <n v="2"/>
    <n v="3742.6164999999996"/>
    <n v="5"/>
    <n v="7111.4445000000005"/>
    <n v="1920.0426999999997"/>
    <x v="0"/>
    <n v="2025"/>
    <x v="9"/>
    <x v="22"/>
    <n v="0.26999334664005314"/>
    <x v="22"/>
    <x v="22"/>
  </r>
  <r>
    <s v="ORD-10900"/>
    <x v="511"/>
    <s v="Barbara Brown"/>
    <x v="1"/>
    <s v="Tablet Case"/>
    <x v="0"/>
    <n v="2"/>
    <n v="13029.6047"/>
    <n v="5"/>
    <n v="24756.154299999998"/>
    <n v="4756.1037999999999"/>
    <x v="1"/>
    <n v="2025"/>
    <x v="4"/>
    <x v="16"/>
    <n v="0.19211803830128818"/>
    <x v="16"/>
    <x v="16"/>
  </r>
  <r>
    <s v="ORD-10901"/>
    <x v="467"/>
    <s v="Mary Moore"/>
    <x v="4"/>
    <s v="Face Moisturizer"/>
    <x v="1"/>
    <n v="1"/>
    <n v="2528.5135999999998"/>
    <n v="0"/>
    <n v="2528.5135999999998"/>
    <n v="1595.4617999999998"/>
    <x v="1"/>
    <n v="2025"/>
    <x v="5"/>
    <x v="5"/>
    <n v="0.63098802395209574"/>
    <x v="5"/>
    <x v="5"/>
  </r>
  <r>
    <s v="ORD-10902"/>
    <x v="512"/>
    <s v="Susan Lopez"/>
    <x v="1"/>
    <s v="Running Shoes"/>
    <x v="3"/>
    <n v="1"/>
    <n v="4201.5720000000001"/>
    <n v="25"/>
    <n v="3151.1789999999996"/>
    <n v="1344.6922999999999"/>
    <x v="2"/>
    <n v="2025"/>
    <x v="11"/>
    <x v="19"/>
    <n v="0.42672672672672673"/>
    <x v="19"/>
    <x v="19"/>
  </r>
  <r>
    <s v="ORD-10903"/>
    <x v="513"/>
    <s v="Susan Williams"/>
    <x v="1"/>
    <s v="Throw Blanket"/>
    <x v="2"/>
    <n v="4"/>
    <n v="5239.6630999999998"/>
    <n v="5"/>
    <n v="19911.098299999998"/>
    <n v="4423.9524999999994"/>
    <x v="2"/>
    <n v="2024"/>
    <x v="9"/>
    <x v="15"/>
    <n v="0.22218525735468847"/>
    <x v="15"/>
    <x v="15"/>
  </r>
  <r>
    <s v="ORD-10904"/>
    <x v="337"/>
    <s v="Mary Brown"/>
    <x v="0"/>
    <s v="Lip Balm Set"/>
    <x v="1"/>
    <n v="1"/>
    <n v="820.44209999999998"/>
    <n v="0"/>
    <n v="820.44209999999998"/>
    <n v="370.00329999999997"/>
    <x v="0"/>
    <n v="2024"/>
    <x v="4"/>
    <x v="4"/>
    <n v="0.4509803921568627"/>
    <x v="4"/>
    <x v="4"/>
  </r>
  <r>
    <s v="ORD-10905"/>
    <x v="514"/>
    <s v="Anthony Anderson"/>
    <x v="1"/>
    <s v="Bluetooth Speaker"/>
    <x v="0"/>
    <n v="1"/>
    <n v="5368.3598999999995"/>
    <n v="0"/>
    <n v="5368.3598999999995"/>
    <n v="471.25740000000002"/>
    <x v="0"/>
    <n v="2025"/>
    <x v="10"/>
    <x v="21"/>
    <n v="8.7784241142252792E-2"/>
    <x v="21"/>
    <x v="21"/>
  </r>
  <r>
    <s v="ORD-10906"/>
    <x v="493"/>
    <s v="Robert Ramirez"/>
    <x v="2"/>
    <s v="Throw Blanket"/>
    <x v="2"/>
    <n v="2"/>
    <n v="1373.0812999999998"/>
    <n v="0"/>
    <n v="2746.1625999999997"/>
    <n v="1024.8428999999999"/>
    <x v="1"/>
    <n v="2025"/>
    <x v="5"/>
    <x v="5"/>
    <n v="0.37319090282563749"/>
    <x v="5"/>
    <x v="5"/>
  </r>
  <r>
    <s v="ORD-10907"/>
    <x v="515"/>
    <s v="William Rodriguez"/>
    <x v="4"/>
    <s v="Rain Jacket"/>
    <x v="3"/>
    <n v="1"/>
    <n v="5316.3134"/>
    <n v="10"/>
    <n v="4784.4928"/>
    <n v="2407.3872000000001"/>
    <x v="0"/>
    <n v="2024"/>
    <x v="5"/>
    <x v="18"/>
    <n v="0.50316455696202533"/>
    <x v="18"/>
    <x v="18"/>
  </r>
  <r>
    <s v="ORD-10908"/>
    <x v="503"/>
    <s v="Carol Perez"/>
    <x v="2"/>
    <s v="Shampoo Organic"/>
    <x v="1"/>
    <n v="1"/>
    <n v="2989.3616999999999"/>
    <n v="15"/>
    <n v="2540.8155000000002"/>
    <n v="1353.2090000000001"/>
    <x v="0"/>
    <n v="2024"/>
    <x v="4"/>
    <x v="4"/>
    <n v="0.53258845437616387"/>
    <x v="4"/>
    <x v="4"/>
  </r>
  <r>
    <s v="ORD-10909"/>
    <x v="94"/>
    <s v="Michael Williams"/>
    <x v="0"/>
    <s v="Door Mat"/>
    <x v="2"/>
    <n v="4"/>
    <n v="1396.7387999999999"/>
    <n v="5"/>
    <n v="5307.7966999999999"/>
    <n v="1346.5849000000001"/>
    <x v="1"/>
    <n v="2024"/>
    <x v="7"/>
    <x v="10"/>
    <n v="0.25369941165983245"/>
    <x v="10"/>
    <x v="10"/>
  </r>
  <r>
    <s v="ORD-10910"/>
    <x v="199"/>
    <s v="Lisa Thomas"/>
    <x v="1"/>
    <s v="Cotton T-Shirt"/>
    <x v="3"/>
    <n v="2"/>
    <n v="2288.1533999999997"/>
    <n v="0"/>
    <n v="4576.3067999999994"/>
    <n v="2290.0459999999998"/>
    <x v="0"/>
    <n v="2025"/>
    <x v="3"/>
    <x v="7"/>
    <n v="0.50041356492969402"/>
    <x v="7"/>
    <x v="7"/>
  </r>
  <r>
    <s v="ORD-10911"/>
    <x v="145"/>
    <s v="Joshua Clark"/>
    <x v="3"/>
    <s v="Polo Shirt"/>
    <x v="3"/>
    <n v="5"/>
    <n v="3717.0663999999997"/>
    <n v="0"/>
    <n v="18585.331999999999"/>
    <n v="7061.2906000000003"/>
    <x v="0"/>
    <n v="2025"/>
    <x v="3"/>
    <x v="7"/>
    <n v="0.37993890020366605"/>
    <x v="7"/>
    <x v="7"/>
  </r>
  <r>
    <s v="ORD-10912"/>
    <x v="516"/>
    <s v="Joseph Ramirez"/>
    <x v="4"/>
    <s v="Nail Polish Set"/>
    <x v="1"/>
    <n v="2"/>
    <n v="4447.6099999999997"/>
    <n v="10"/>
    <n v="8005.6979999999994"/>
    <n v="4014.2046"/>
    <x v="1"/>
    <n v="2024"/>
    <x v="6"/>
    <x v="6"/>
    <n v="0.50141843971631206"/>
    <x v="6"/>
    <x v="6"/>
  </r>
  <r>
    <s v="ORD-10913"/>
    <x v="2"/>
    <s v="Nancy Miller"/>
    <x v="1"/>
    <s v="Cargo Shorts"/>
    <x v="3"/>
    <n v="1"/>
    <n v="5673.0685000000003"/>
    <n v="0"/>
    <n v="5673.0685000000003"/>
    <n v="1836.7683"/>
    <x v="0"/>
    <n v="2024"/>
    <x v="2"/>
    <x v="2"/>
    <n v="0.32376980817347789"/>
    <x v="2"/>
    <x v="2"/>
  </r>
  <r>
    <s v="ORD-10914"/>
    <x v="255"/>
    <s v="Donald Smith"/>
    <x v="2"/>
    <s v="Webcam HD"/>
    <x v="0"/>
    <n v="1"/>
    <n v="9509.3686999999991"/>
    <n v="5"/>
    <n v="9034.3261000000002"/>
    <n v="1985.3373999999999"/>
    <x v="0"/>
    <n v="2024"/>
    <x v="6"/>
    <x v="6"/>
    <n v="0.21975489682622812"/>
    <x v="6"/>
    <x v="6"/>
  </r>
  <r>
    <s v="ORD-10915"/>
    <x v="517"/>
    <s v="Jessica Robinson"/>
    <x v="4"/>
    <s v="Keyboard Mechanical"/>
    <x v="0"/>
    <n v="1"/>
    <n v="2562.5803999999998"/>
    <n v="10"/>
    <n v="2306.1331"/>
    <n v="433.40539999999999"/>
    <x v="1"/>
    <n v="2025"/>
    <x v="1"/>
    <x v="1"/>
    <n v="0.18793598686910135"/>
    <x v="1"/>
    <x v="1"/>
  </r>
  <r>
    <s v="ORD-10916"/>
    <x v="332"/>
    <s v="Carol Thompson"/>
    <x v="1"/>
    <s v="Cutting Board"/>
    <x v="2"/>
    <n v="2"/>
    <n v="2316.5423999999998"/>
    <n v="10"/>
    <n v="4169.3977999999997"/>
    <n v="1198.9621"/>
    <x v="0"/>
    <n v="2025"/>
    <x v="1"/>
    <x v="1"/>
    <n v="0.28756241488878803"/>
    <x v="1"/>
    <x v="1"/>
  </r>
  <r>
    <s v="ORD-10917"/>
    <x v="380"/>
    <s v="Sandra Perez"/>
    <x v="4"/>
    <s v="Storage Bins"/>
    <x v="2"/>
    <n v="1"/>
    <n v="1781.8828999999998"/>
    <n v="15"/>
    <n v="1515.0263"/>
    <n v="314.17159999999996"/>
    <x v="1"/>
    <n v="2025"/>
    <x v="3"/>
    <x v="7"/>
    <n v="0.20737039350405995"/>
    <x v="7"/>
    <x v="7"/>
  </r>
  <r>
    <s v="ORD-10918"/>
    <x v="518"/>
    <s v="Richard White"/>
    <x v="3"/>
    <s v="Knife Set"/>
    <x v="2"/>
    <n v="2"/>
    <n v="3001.6635999999999"/>
    <n v="0"/>
    <n v="6003.3271999999997"/>
    <n v="1248.1696999999999"/>
    <x v="0"/>
    <n v="2025"/>
    <x v="1"/>
    <x v="1"/>
    <n v="0.20791298865069358"/>
    <x v="1"/>
    <x v="1"/>
  </r>
  <r>
    <s v="ORD-10919"/>
    <x v="508"/>
    <s v="Lisa Clark"/>
    <x v="3"/>
    <s v="Desk Lamp"/>
    <x v="2"/>
    <n v="1"/>
    <n v="7181.4706999999999"/>
    <n v="0"/>
    <n v="7181.4706999999999"/>
    <n v="1662.6490999999999"/>
    <x v="1"/>
    <n v="2024"/>
    <x v="6"/>
    <x v="6"/>
    <n v="0.23151930425616021"/>
    <x v="6"/>
    <x v="6"/>
  </r>
  <r>
    <s v="ORD-10920"/>
    <x v="81"/>
    <s v="Sandra Anderson"/>
    <x v="3"/>
    <s v="Portable Charger"/>
    <x v="0"/>
    <n v="2"/>
    <n v="7017.7607999999991"/>
    <n v="5"/>
    <n v="13333.367"/>
    <n v="2640.1769999999997"/>
    <x v="2"/>
    <n v="2025"/>
    <x v="2"/>
    <x v="9"/>
    <n v="0.19801277501774306"/>
    <x v="9"/>
    <x v="9"/>
  </r>
  <r>
    <s v="ORD-10921"/>
    <x v="378"/>
    <s v="Richard Miller"/>
    <x v="3"/>
    <s v="Hair Oil"/>
    <x v="1"/>
    <n v="1"/>
    <n v="4391.778299999999"/>
    <n v="15"/>
    <n v="3733.1534999999999"/>
    <n v="2118.7656999999999"/>
    <x v="0"/>
    <n v="2025"/>
    <x v="9"/>
    <x v="22"/>
    <n v="0.56755386565272492"/>
    <x v="22"/>
    <x v="22"/>
  </r>
  <r>
    <s v="ORD-10922"/>
    <x v="141"/>
    <s v="Paul Clark"/>
    <x v="0"/>
    <s v="Blender"/>
    <x v="2"/>
    <n v="1"/>
    <n v="3971.6210999999998"/>
    <n v="0"/>
    <n v="3971.6210999999998"/>
    <n v="1318.1958999999999"/>
    <x v="0"/>
    <n v="2024"/>
    <x v="5"/>
    <x v="18"/>
    <n v="0.33190374076721468"/>
    <x v="18"/>
    <x v="18"/>
  </r>
  <r>
    <s v="ORD-10923"/>
    <x v="326"/>
    <s v="Andrew Martinez"/>
    <x v="1"/>
    <s v="Bluetooth Speaker"/>
    <x v="0"/>
    <n v="2"/>
    <n v="5358.8968999999997"/>
    <n v="20"/>
    <n v="8574.4242999999988"/>
    <n v="1622.9044999999999"/>
    <x v="1"/>
    <n v="2024"/>
    <x v="7"/>
    <x v="10"/>
    <n v="0.18927270720671008"/>
    <x v="10"/>
    <x v="10"/>
  </r>
  <r>
    <s v="ORD-10924"/>
    <x v="123"/>
    <s v="Ashley Brown"/>
    <x v="1"/>
    <s v="Perfume Travel"/>
    <x v="1"/>
    <n v="3"/>
    <n v="2261.6569999999997"/>
    <n v="10"/>
    <n v="6106.4739"/>
    <n v="3933.7691"/>
    <x v="0"/>
    <n v="2025"/>
    <x v="2"/>
    <x v="9"/>
    <n v="0.64419649775298315"/>
    <x v="9"/>
    <x v="9"/>
  </r>
  <r>
    <s v="ORD-10925"/>
    <x v="143"/>
    <s v="Joseph Garcia"/>
    <x v="3"/>
    <s v="Rain Jacket"/>
    <x v="3"/>
    <n v="2"/>
    <n v="5975.8844999999992"/>
    <n v="0"/>
    <n v="11951.768999999998"/>
    <n v="6182.1778999999997"/>
    <x v="0"/>
    <n v="2024"/>
    <x v="3"/>
    <x v="3"/>
    <n v="0.51726049089469517"/>
    <x v="3"/>
    <x v="3"/>
  </r>
  <r>
    <s v="ORD-10926"/>
    <x v="135"/>
    <s v="Daniel Sanchez"/>
    <x v="1"/>
    <s v="Resistance Bands"/>
    <x v="4"/>
    <n v="1"/>
    <n v="5389.1785"/>
    <n v="0"/>
    <n v="5389.1785"/>
    <n v="991.72239999999999"/>
    <x v="0"/>
    <n v="2025"/>
    <x v="7"/>
    <x v="8"/>
    <n v="0.18402107111501317"/>
    <x v="8"/>
    <x v="8"/>
  </r>
  <r>
    <s v="ORD-10927"/>
    <x v="0"/>
    <s v="Thomas Davis"/>
    <x v="3"/>
    <s v="Desk Lamp"/>
    <x v="2"/>
    <n v="5"/>
    <n v="1559.5023999999999"/>
    <n v="5"/>
    <n v="7407.6363999999994"/>
    <n v="1855.6942999999999"/>
    <x v="1"/>
    <n v="2024"/>
    <x v="0"/>
    <x v="0"/>
    <n v="0.25051098620337253"/>
    <x v="0"/>
    <x v="0"/>
  </r>
  <r>
    <s v="ORD-10928"/>
    <x v="5"/>
    <s v="William Perez"/>
    <x v="1"/>
    <s v="Lip Balm Set"/>
    <x v="1"/>
    <n v="1"/>
    <n v="4433.4155000000001"/>
    <n v="0"/>
    <n v="4433.4155000000001"/>
    <n v="1827.3052999999998"/>
    <x v="2"/>
    <n v="2025"/>
    <x v="5"/>
    <x v="5"/>
    <n v="0.4121664887940234"/>
    <x v="5"/>
    <x v="5"/>
  </r>
  <r>
    <s v="ORD-10929"/>
    <x v="17"/>
    <s v="Joseph Martin"/>
    <x v="1"/>
    <s v="Cargo Shorts"/>
    <x v="3"/>
    <n v="2"/>
    <n v="3601.6178"/>
    <n v="0"/>
    <n v="7203.2356"/>
    <n v="3154.9642000000003"/>
    <x v="0"/>
    <n v="2024"/>
    <x v="3"/>
    <x v="3"/>
    <n v="0.4379926431949554"/>
    <x v="3"/>
    <x v="3"/>
  </r>
  <r>
    <s v="ORD-10930"/>
    <x v="255"/>
    <s v="Jennifer Davis"/>
    <x v="1"/>
    <s v="Polo Shirt"/>
    <x v="3"/>
    <n v="2"/>
    <n v="8378.5401999999995"/>
    <n v="15"/>
    <n v="14243.7076"/>
    <n v="7279.8859000000002"/>
    <x v="1"/>
    <n v="2024"/>
    <x v="6"/>
    <x v="6"/>
    <n v="0.51109487111347329"/>
    <x v="6"/>
    <x v="6"/>
  </r>
  <r>
    <s v="ORD-10931"/>
    <x v="489"/>
    <s v="Joseph Anderson"/>
    <x v="3"/>
    <s v="Mouse Wireless"/>
    <x v="0"/>
    <n v="3"/>
    <n v="11865.655699999999"/>
    <n v="20"/>
    <n v="28477.9522"/>
    <n v="3582.6917999999996"/>
    <x v="0"/>
    <n v="2025"/>
    <x v="8"/>
    <x v="14"/>
    <n v="0.125805808466804"/>
    <x v="14"/>
    <x v="14"/>
  </r>
  <r>
    <s v="ORD-10932"/>
    <x v="123"/>
    <s v="David Sanchez"/>
    <x v="3"/>
    <s v="Laptop Stand"/>
    <x v="0"/>
    <n v="3"/>
    <n v="3288.3924999999999"/>
    <n v="20"/>
    <n v="7892.1419999999998"/>
    <n v="1387.2757999999999"/>
    <x v="0"/>
    <n v="2025"/>
    <x v="2"/>
    <x v="9"/>
    <n v="0.17577937649880096"/>
    <x v="9"/>
    <x v="9"/>
  </r>
  <r>
    <s v="ORD-10933"/>
    <x v="180"/>
    <s v="Elizabeth Rodriguez"/>
    <x v="2"/>
    <s v="Yoga Mat"/>
    <x v="4"/>
    <n v="2"/>
    <n v="1959.7873"/>
    <n v="15"/>
    <n v="3331.9222999999997"/>
    <n v="730.54359999999997"/>
    <x v="1"/>
    <n v="2024"/>
    <x v="8"/>
    <x v="12"/>
    <n v="0.21925589321215563"/>
    <x v="12"/>
    <x v="12"/>
  </r>
  <r>
    <s v="ORD-10934"/>
    <x v="438"/>
    <s v="Susan Thomas"/>
    <x v="4"/>
    <s v="Face Mask Pack"/>
    <x v="1"/>
    <n v="1"/>
    <n v="716.34910000000002"/>
    <n v="15"/>
    <n v="608.47089999999992"/>
    <n v="325.52719999999999"/>
    <x v="1"/>
    <n v="2024"/>
    <x v="0"/>
    <x v="0"/>
    <n v="0.53499222395023338"/>
    <x v="0"/>
    <x v="0"/>
  </r>
  <r>
    <s v="ORD-10935"/>
    <x v="153"/>
    <s v="Lisa Perez"/>
    <x v="2"/>
    <s v="Perfume Travel"/>
    <x v="1"/>
    <n v="2"/>
    <n v="2992.2006000000001"/>
    <n v="25"/>
    <n v="4488.3009000000002"/>
    <n v="2688.4382999999998"/>
    <x v="1"/>
    <n v="2024"/>
    <x v="0"/>
    <x v="0"/>
    <n v="0.59898798228968997"/>
    <x v="0"/>
    <x v="0"/>
  </r>
  <r>
    <s v="ORD-10936"/>
    <x v="519"/>
    <s v="Richard Sanchez"/>
    <x v="2"/>
    <s v="Portable Charger"/>
    <x v="0"/>
    <n v="2"/>
    <n v="10075.256099999999"/>
    <n v="10"/>
    <n v="18135.839499999998"/>
    <n v="1678.7361999999998"/>
    <x v="0"/>
    <n v="2025"/>
    <x v="9"/>
    <x v="22"/>
    <n v="9.2564570832246285E-2"/>
    <x v="22"/>
    <x v="22"/>
  </r>
  <r>
    <s v="ORD-10937"/>
    <x v="10"/>
    <s v="Robert Anderson"/>
    <x v="1"/>
    <s v="Tablet Case"/>
    <x v="0"/>
    <n v="3"/>
    <n v="10452.8298"/>
    <n v="0"/>
    <n v="31358.489399999999"/>
    <n v="6223.8150999999989"/>
    <x v="0"/>
    <n v="2025"/>
    <x v="3"/>
    <x v="7"/>
    <n v="0.19847305208521937"/>
    <x v="7"/>
    <x v="7"/>
  </r>
  <r>
    <s v="ORD-10938"/>
    <x v="494"/>
    <s v="Ashley Garcia"/>
    <x v="0"/>
    <s v="Coffee Maker"/>
    <x v="2"/>
    <n v="2"/>
    <n v="5659.8203000000003"/>
    <n v="20"/>
    <n v="9056.0910000000003"/>
    <n v="3551.4638999999997"/>
    <x v="2"/>
    <n v="2024"/>
    <x v="1"/>
    <x v="11"/>
    <n v="0.3921630094043887"/>
    <x v="11"/>
    <x v="11"/>
  </r>
  <r>
    <s v="ORD-10939"/>
    <x v="3"/>
    <s v="Paul Rodriguez"/>
    <x v="4"/>
    <s v="Jump Rope"/>
    <x v="4"/>
    <n v="2"/>
    <n v="872.48860000000002"/>
    <n v="5"/>
    <n v="1657.9176"/>
    <n v="503.4316"/>
    <x v="1"/>
    <n v="2024"/>
    <x v="3"/>
    <x v="3"/>
    <n v="0.30365296803652969"/>
    <x v="3"/>
    <x v="3"/>
  </r>
  <r>
    <s v="ORD-10940"/>
    <x v="520"/>
    <s v="Thomas Ramirez"/>
    <x v="2"/>
    <s v="Yoga Mat"/>
    <x v="4"/>
    <n v="3"/>
    <n v="3702.8719000000001"/>
    <n v="5"/>
    <n v="10553.1376"/>
    <n v="2590.9694"/>
    <x v="1"/>
    <n v="2024"/>
    <x v="9"/>
    <x v="15"/>
    <n v="0.24551649928263988"/>
    <x v="15"/>
    <x v="15"/>
  </r>
  <r>
    <s v="ORD-10941"/>
    <x v="166"/>
    <s v="Betty Brown"/>
    <x v="4"/>
    <s v="Cargo Shorts"/>
    <x v="3"/>
    <n v="2"/>
    <n v="5123.2681999999995"/>
    <n v="0"/>
    <n v="10246.536399999999"/>
    <n v="4090.8548999999994"/>
    <x v="0"/>
    <n v="2024"/>
    <x v="7"/>
    <x v="10"/>
    <n v="0.39924270410048018"/>
    <x v="10"/>
    <x v="10"/>
  </r>
  <r>
    <s v="ORD-10942"/>
    <x v="196"/>
    <s v="Joseph Gonzalez"/>
    <x v="3"/>
    <s v="Wireless Headphones"/>
    <x v="0"/>
    <n v="2"/>
    <n v="8189.2802000000001"/>
    <n v="0"/>
    <n v="16378.5604"/>
    <n v="3453.0486999999998"/>
    <x v="0"/>
    <n v="2024"/>
    <x v="6"/>
    <x v="6"/>
    <n v="0.21082736306910099"/>
    <x v="6"/>
    <x v="6"/>
  </r>
  <r>
    <s v="ORD-10943"/>
    <x v="521"/>
    <s v="David Thompson"/>
    <x v="1"/>
    <s v="Smart Watch"/>
    <x v="0"/>
    <n v="2"/>
    <n v="2801.0479999999998"/>
    <n v="0"/>
    <n v="5602.0959999999995"/>
    <n v="1011.5946999999999"/>
    <x v="0"/>
    <n v="2024"/>
    <x v="2"/>
    <x v="2"/>
    <n v="0.18057432432432433"/>
    <x v="2"/>
    <x v="2"/>
  </r>
  <r>
    <s v="ORD-10944"/>
    <x v="207"/>
    <s v="Robert Moore"/>
    <x v="1"/>
    <s v="Cotton T-Shirt"/>
    <x v="3"/>
    <n v="1"/>
    <n v="6387.5249999999996"/>
    <n v="0"/>
    <n v="6387.5249999999996"/>
    <n v="2127.2824000000001"/>
    <x v="0"/>
    <n v="2024"/>
    <x v="6"/>
    <x v="6"/>
    <n v="0.33303703703703708"/>
    <x v="6"/>
    <x v="6"/>
  </r>
  <r>
    <s v="ORD-10945"/>
    <x v="17"/>
    <s v="Lisa Lopez"/>
    <x v="4"/>
    <s v="Cotton T-Shirt"/>
    <x v="3"/>
    <n v="3"/>
    <n v="4489.2471999999998"/>
    <n v="5"/>
    <n v="12793.975999999999"/>
    <n v="5639.9479999999994"/>
    <x v="0"/>
    <n v="2024"/>
    <x v="3"/>
    <x v="3"/>
    <n v="0.44082840236686388"/>
    <x v="3"/>
    <x v="3"/>
  </r>
  <r>
    <s v="ORD-10946"/>
    <x v="522"/>
    <s v="Andrew Lopez"/>
    <x v="3"/>
    <s v="Smart Watch"/>
    <x v="0"/>
    <n v="3"/>
    <n v="5798.9263999999994"/>
    <n v="20"/>
    <n v="13917.234099999998"/>
    <n v="1118.5265999999999"/>
    <x v="2"/>
    <n v="2024"/>
    <x v="7"/>
    <x v="10"/>
    <n v="8.0369891888216499E-2"/>
    <x v="10"/>
    <x v="10"/>
  </r>
  <r>
    <s v="ORD-10947"/>
    <x v="523"/>
    <s v="Thomas Thompson"/>
    <x v="0"/>
    <s v="Sunscreen SPF50"/>
    <x v="1"/>
    <n v="3"/>
    <n v="2446.1855"/>
    <n v="20"/>
    <n v="5870.8451999999997"/>
    <n v="2459.4336999999996"/>
    <x v="0"/>
    <n v="2025"/>
    <x v="9"/>
    <x v="22"/>
    <n v="0.41892327530625395"/>
    <x v="22"/>
    <x v="22"/>
  </r>
  <r>
    <s v="ORD-10948"/>
    <x v="524"/>
    <s v="Linda Anderson"/>
    <x v="4"/>
    <s v="Wireless Headphones"/>
    <x v="0"/>
    <n v="1"/>
    <n v="13838.691199999999"/>
    <n v="15"/>
    <n v="11762.509"/>
    <n v="1462.0334999999998"/>
    <x v="0"/>
    <n v="2024"/>
    <x v="10"/>
    <x v="17"/>
    <n v="0.12429605792437649"/>
    <x v="17"/>
    <x v="17"/>
  </r>
  <r>
    <s v="ORD-10949"/>
    <x v="95"/>
    <s v="Thomas Ramirez"/>
    <x v="0"/>
    <s v="Scented Candle Set"/>
    <x v="2"/>
    <n v="5"/>
    <n v="1585.9988000000001"/>
    <n v="5"/>
    <n v="7533.4942999999994"/>
    <n v="2731.0218"/>
    <x v="0"/>
    <n v="2024"/>
    <x v="8"/>
    <x v="12"/>
    <n v="0.36251727169953524"/>
    <x v="12"/>
    <x v="12"/>
  </r>
  <r>
    <s v="ORD-10950"/>
    <x v="270"/>
    <s v="Susan Robinson"/>
    <x v="0"/>
    <s v="Foam Roller"/>
    <x v="4"/>
    <n v="4"/>
    <n v="3722.7442000000001"/>
    <n v="20"/>
    <n v="11912.9707"/>
    <n v="3147.3937999999998"/>
    <x v="0"/>
    <n v="2024"/>
    <x v="3"/>
    <x v="3"/>
    <n v="0.26419890380490901"/>
    <x v="3"/>
    <x v="3"/>
  </r>
  <r>
    <s v="ORD-10951"/>
    <x v="525"/>
    <s v="Sarah Robinson"/>
    <x v="4"/>
    <s v="Bluetooth Speaker"/>
    <x v="0"/>
    <n v="1"/>
    <n v="12804.3853"/>
    <n v="20"/>
    <n v="10243.6975"/>
    <n v="2471.7356"/>
    <x v="0"/>
    <n v="2025"/>
    <x v="4"/>
    <x v="16"/>
    <n v="0.2412933025404157"/>
    <x v="16"/>
    <x v="16"/>
  </r>
  <r>
    <s v="ORD-10952"/>
    <x v="315"/>
    <s v="Nancy Jackson"/>
    <x v="3"/>
    <s v="Wireless Headphones"/>
    <x v="0"/>
    <n v="1"/>
    <n v="10959.1003"/>
    <n v="20"/>
    <n v="8767.4694999999992"/>
    <n v="1035.2521999999999"/>
    <x v="0"/>
    <n v="2024"/>
    <x v="4"/>
    <x v="4"/>
    <n v="0.11807879114948731"/>
    <x v="4"/>
    <x v="4"/>
  </r>
  <r>
    <s v="ORD-10953"/>
    <x v="11"/>
    <s v="Kimberly Thompson"/>
    <x v="2"/>
    <s v="Athletic Socks"/>
    <x v="3"/>
    <n v="2"/>
    <n v="4006.6342"/>
    <n v="15"/>
    <n v="6811.4674000000005"/>
    <n v="2413.0650000000001"/>
    <x v="0"/>
    <n v="2025"/>
    <x v="5"/>
    <x v="5"/>
    <n v="0.35426507363156429"/>
    <x v="5"/>
    <x v="5"/>
  </r>
  <r>
    <s v="ORD-10954"/>
    <x v="84"/>
    <s v="Donna Moore"/>
    <x v="2"/>
    <s v="Door Mat"/>
    <x v="2"/>
    <n v="2"/>
    <n v="1994.8003999999999"/>
    <n v="10"/>
    <n v="3590.2621999999997"/>
    <n v="1365.5109"/>
    <x v="1"/>
    <n v="2024"/>
    <x v="3"/>
    <x v="3"/>
    <n v="0.38033737480231949"/>
    <x v="3"/>
    <x v="3"/>
  </r>
  <r>
    <s v="ORD-10955"/>
    <x v="378"/>
    <s v="Daniel White"/>
    <x v="4"/>
    <s v="Water Bottle"/>
    <x v="4"/>
    <n v="1"/>
    <n v="2692.2234999999996"/>
    <n v="0"/>
    <n v="2692.2234999999996"/>
    <n v="765.55669999999998"/>
    <x v="1"/>
    <n v="2025"/>
    <x v="9"/>
    <x v="22"/>
    <n v="0.28435852372583481"/>
    <x v="22"/>
    <x v="22"/>
  </r>
  <r>
    <s v="ORD-10956"/>
    <x v="323"/>
    <s v="Donald Martinez"/>
    <x v="0"/>
    <s v="Gym Bag"/>
    <x v="4"/>
    <n v="2"/>
    <n v="5387.2858999999999"/>
    <n v="0"/>
    <n v="10774.5718"/>
    <n v="3494.6858999999999"/>
    <x v="2"/>
    <n v="2024"/>
    <x v="5"/>
    <x v="18"/>
    <n v="0.32434568768663269"/>
    <x v="18"/>
    <x v="18"/>
  </r>
  <r>
    <s v="ORD-10957"/>
    <x v="488"/>
    <s v="Daniel Martin"/>
    <x v="2"/>
    <s v="Blender"/>
    <x v="2"/>
    <n v="1"/>
    <n v="6736.7096999999994"/>
    <n v="15"/>
    <n v="5726.0612999999994"/>
    <n v="2262.6032999999998"/>
    <x v="0"/>
    <n v="2025"/>
    <x v="0"/>
    <x v="13"/>
    <n v="0.39514129895884975"/>
    <x v="13"/>
    <x v="13"/>
  </r>
  <r>
    <s v="ORD-10958"/>
    <x v="105"/>
    <s v="Jennifer Johnson"/>
    <x v="3"/>
    <s v="Polo Shirt"/>
    <x v="3"/>
    <n v="2"/>
    <n v="5969.2603999999992"/>
    <n v="15"/>
    <n v="10148.1212"/>
    <n v="4322.6984000000002"/>
    <x v="1"/>
    <n v="2024"/>
    <x v="2"/>
    <x v="2"/>
    <n v="0.42596046251398734"/>
    <x v="2"/>
    <x v="2"/>
  </r>
  <r>
    <s v="ORD-10959"/>
    <x v="28"/>
    <s v="Robert Martinez"/>
    <x v="2"/>
    <s v="Swim Goggles"/>
    <x v="4"/>
    <n v="4"/>
    <n v="4678.5072"/>
    <n v="0"/>
    <n v="18714.0288"/>
    <n v="4754.2111999999997"/>
    <x v="1"/>
    <n v="2024"/>
    <x v="10"/>
    <x v="17"/>
    <n v="0.25404530744336568"/>
    <x v="17"/>
    <x v="17"/>
  </r>
  <r>
    <s v="ORD-10960"/>
    <x v="207"/>
    <s v="James Lee"/>
    <x v="1"/>
    <s v="Eye Cream"/>
    <x v="1"/>
    <n v="1"/>
    <n v="4639.7088999999996"/>
    <n v="0"/>
    <n v="4639.7088999999996"/>
    <n v="2194.4697000000001"/>
    <x v="0"/>
    <n v="2024"/>
    <x v="6"/>
    <x v="6"/>
    <n v="0.47297572914542124"/>
    <x v="6"/>
    <x v="6"/>
  </r>
  <r>
    <s v="ORD-10961"/>
    <x v="265"/>
    <s v="Elizabeth Taylor"/>
    <x v="2"/>
    <s v="Door Mat"/>
    <x v="2"/>
    <n v="1"/>
    <n v="3600.6714999999995"/>
    <n v="0"/>
    <n v="3600.6714999999995"/>
    <n v="1221.6732999999999"/>
    <x v="1"/>
    <n v="2024"/>
    <x v="6"/>
    <x v="6"/>
    <n v="0.33929040735873855"/>
    <x v="6"/>
    <x v="6"/>
  </r>
  <r>
    <s v="ORD-10962"/>
    <x v="430"/>
    <s v="Karen Johnson"/>
    <x v="4"/>
    <s v="Laptop Stand"/>
    <x v="0"/>
    <n v="1"/>
    <n v="4780.7075999999997"/>
    <n v="5"/>
    <n v="4541.2937000000002"/>
    <n v="1125.1506999999999"/>
    <x v="2"/>
    <n v="2025"/>
    <x v="11"/>
    <x v="19"/>
    <n v="0.24775994998958115"/>
    <x v="19"/>
    <x v="19"/>
  </r>
  <r>
    <s v="ORD-10963"/>
    <x v="72"/>
    <s v="Mark Harris"/>
    <x v="4"/>
    <s v="Wireless Headphones"/>
    <x v="0"/>
    <n v="1"/>
    <n v="9110.0300999999999"/>
    <n v="15"/>
    <n v="7743.5728999999992"/>
    <n v="1641.8305"/>
    <x v="1"/>
    <n v="2025"/>
    <x v="10"/>
    <x v="21"/>
    <n v="0.21202492973237203"/>
    <x v="21"/>
    <x v="21"/>
  </r>
  <r>
    <s v="ORD-10964"/>
    <x v="143"/>
    <s v="Michael Clark"/>
    <x v="3"/>
    <s v="Cycling Gloves"/>
    <x v="4"/>
    <n v="2"/>
    <n v="3336.6537999999996"/>
    <n v="0"/>
    <n v="6673.3075999999992"/>
    <n v="1273.7198000000001"/>
    <x v="0"/>
    <n v="2024"/>
    <x v="3"/>
    <x v="3"/>
    <n v="0.19086783891094727"/>
    <x v="3"/>
    <x v="3"/>
  </r>
  <r>
    <s v="ORD-10965"/>
    <x v="526"/>
    <s v="Steven Lopez"/>
    <x v="3"/>
    <s v="Lip Balm Set"/>
    <x v="1"/>
    <n v="1"/>
    <n v="3620.5437999999995"/>
    <n v="5"/>
    <n v="3439.8004999999998"/>
    <n v="1943.7001999999998"/>
    <x v="0"/>
    <n v="2024"/>
    <x v="8"/>
    <x v="12"/>
    <n v="0.56506189821182939"/>
    <x v="12"/>
    <x v="12"/>
  </r>
  <r>
    <s v="ORD-10966"/>
    <x v="325"/>
    <s v="Matthew White"/>
    <x v="1"/>
    <s v="Cycling Gloves"/>
    <x v="4"/>
    <n v="1"/>
    <n v="828.01249999999993"/>
    <n v="0"/>
    <n v="828.01249999999993"/>
    <n v="235.62870000000001"/>
    <x v="0"/>
    <n v="2025"/>
    <x v="2"/>
    <x v="9"/>
    <n v="0.28457142857142859"/>
    <x v="9"/>
    <x v="9"/>
  </r>
  <r>
    <s v="ORD-10967"/>
    <x v="192"/>
    <s v="Carol White"/>
    <x v="2"/>
    <s v="Cutting Board"/>
    <x v="2"/>
    <n v="4"/>
    <n v="7435.079099999999"/>
    <n v="5"/>
    <n v="28253.679099999998"/>
    <n v="6477.4234999999999"/>
    <x v="0"/>
    <n v="2024"/>
    <x v="2"/>
    <x v="2"/>
    <n v="0.22925947014100548"/>
    <x v="2"/>
    <x v="2"/>
  </r>
  <r>
    <s v="ORD-10968"/>
    <x v="181"/>
    <s v="Ashley Robinson"/>
    <x v="3"/>
    <s v="Body Lotion"/>
    <x v="1"/>
    <n v="1"/>
    <n v="954.81669999999997"/>
    <n v="25"/>
    <n v="716.34910000000002"/>
    <n v="313.2253"/>
    <x v="1"/>
    <n v="2025"/>
    <x v="5"/>
    <x v="5"/>
    <n v="0.43725231175693524"/>
    <x v="5"/>
    <x v="5"/>
  </r>
  <r>
    <s v="ORD-10969"/>
    <x v="406"/>
    <s v="Anthony Smith"/>
    <x v="0"/>
    <s v="Webcam HD"/>
    <x v="0"/>
    <n v="2"/>
    <n v="10582.472899999999"/>
    <n v="5"/>
    <n v="20106.982399999997"/>
    <n v="4843.1633999999995"/>
    <x v="0"/>
    <n v="2024"/>
    <x v="5"/>
    <x v="18"/>
    <n v="0.24086972891566266"/>
    <x v="18"/>
    <x v="18"/>
  </r>
  <r>
    <s v="ORD-10970"/>
    <x v="10"/>
    <s v="Kimberly Wilson"/>
    <x v="4"/>
    <s v="Hair Oil"/>
    <x v="1"/>
    <n v="3"/>
    <n v="3917.6819999999998"/>
    <n v="5"/>
    <n v="11165.393699999999"/>
    <n v="6730.0856000000003"/>
    <x v="0"/>
    <n v="2025"/>
    <x v="3"/>
    <x v="7"/>
    <n v="0.60276294601237401"/>
    <x v="7"/>
    <x v="7"/>
  </r>
  <r>
    <s v="ORD-10971"/>
    <x v="527"/>
    <s v="Kenneth Robinson"/>
    <x v="2"/>
    <s v="Athletic Socks"/>
    <x v="3"/>
    <n v="2"/>
    <n v="5995.7568000000001"/>
    <n v="10"/>
    <n v="10792.5515"/>
    <n v="3316.7814999999996"/>
    <x v="0"/>
    <n v="2024"/>
    <x v="1"/>
    <x v="11"/>
    <n v="0.30732135028496271"/>
    <x v="11"/>
    <x v="11"/>
  </r>
  <r>
    <s v="ORD-10972"/>
    <x v="208"/>
    <s v="Andrew Thompson"/>
    <x v="1"/>
    <s v="Laptop Stand"/>
    <x v="0"/>
    <n v="3"/>
    <n v="5615.3442000000005"/>
    <n v="10"/>
    <n v="15161.6186"/>
    <n v="2677.0826999999999"/>
    <x v="0"/>
    <n v="2024"/>
    <x v="6"/>
    <x v="6"/>
    <n v="0.17656971663962051"/>
    <x v="6"/>
    <x v="6"/>
  </r>
  <r>
    <s v="ORD-10973"/>
    <x v="528"/>
    <s v="Matthew Lewis"/>
    <x v="2"/>
    <s v="Body Lotion"/>
    <x v="1"/>
    <n v="1"/>
    <n v="1206.5325"/>
    <n v="15"/>
    <n v="1025.7891999999999"/>
    <n v="431.51279999999997"/>
    <x v="0"/>
    <n v="2025"/>
    <x v="7"/>
    <x v="8"/>
    <n v="0.42066420664206644"/>
    <x v="8"/>
    <x v="8"/>
  </r>
  <r>
    <s v="ORD-10974"/>
    <x v="93"/>
    <s v="Kenneth Miller"/>
    <x v="0"/>
    <s v="Pillow Set"/>
    <x v="2"/>
    <n v="1"/>
    <n v="6009.0050000000001"/>
    <n v="5"/>
    <n v="5709.0278999999991"/>
    <n v="1201.8009999999999"/>
    <x v="1"/>
    <n v="2024"/>
    <x v="0"/>
    <x v="0"/>
    <n v="0.21050886789325379"/>
    <x v="0"/>
    <x v="0"/>
  </r>
  <r>
    <s v="ORD-10975"/>
    <x v="466"/>
    <s v="Donald Gonzalez"/>
    <x v="1"/>
    <s v="Storage Bins"/>
    <x v="2"/>
    <n v="1"/>
    <n v="5356.058"/>
    <n v="10"/>
    <n v="4820.4521999999997"/>
    <n v="1857.5868999999998"/>
    <x v="0"/>
    <n v="2025"/>
    <x v="0"/>
    <x v="13"/>
    <n v="0.38535531998429523"/>
    <x v="13"/>
    <x v="13"/>
  </r>
  <r>
    <s v="ORD-10976"/>
    <x v="510"/>
    <s v="Dorothy Lee"/>
    <x v="0"/>
    <s v="Polo Shirt"/>
    <x v="3"/>
    <n v="3"/>
    <n v="3231.6144999999997"/>
    <n v="0"/>
    <n v="9694.843499999999"/>
    <n v="3092.5083999999997"/>
    <x v="1"/>
    <n v="2024"/>
    <x v="4"/>
    <x v="4"/>
    <n v="0.31898487066861886"/>
    <x v="4"/>
    <x v="4"/>
  </r>
  <r>
    <s v="ORD-10977"/>
    <x v="252"/>
    <s v="Kenneth Perez"/>
    <x v="2"/>
    <s v="Resistance Bands"/>
    <x v="4"/>
    <n v="4"/>
    <n v="2486.8764000000001"/>
    <n v="0"/>
    <n v="9947.5056000000004"/>
    <n v="3448.3171999999995"/>
    <x v="1"/>
    <n v="2025"/>
    <x v="9"/>
    <x v="22"/>
    <n v="0.34665144596651437"/>
    <x v="22"/>
    <x v="22"/>
  </r>
  <r>
    <s v="ORD-10978"/>
    <x v="183"/>
    <s v="Jennifer Harris"/>
    <x v="1"/>
    <s v="Gym Bag"/>
    <x v="4"/>
    <n v="1"/>
    <n v="988.88349999999991"/>
    <n v="5"/>
    <n v="939.67589999999996"/>
    <n v="274.42699999999996"/>
    <x v="0"/>
    <n v="2025"/>
    <x v="7"/>
    <x v="8"/>
    <n v="0.29204431017119836"/>
    <x v="8"/>
    <x v="8"/>
  </r>
  <r>
    <s v="ORD-10979"/>
    <x v="500"/>
    <s v="Carol Rodriguez"/>
    <x v="4"/>
    <s v="Coffee Maker"/>
    <x v="2"/>
    <n v="2"/>
    <n v="4939.6859999999997"/>
    <n v="10"/>
    <n v="8891.4347999999991"/>
    <n v="2219.0735"/>
    <x v="0"/>
    <n v="2024"/>
    <x v="7"/>
    <x v="10"/>
    <n v="0.24957428693060879"/>
    <x v="10"/>
    <x v="10"/>
  </r>
  <r>
    <s v="ORD-10980"/>
    <x v="61"/>
    <s v="Elizabeth Rodriguez"/>
    <x v="2"/>
    <s v="Knife Set"/>
    <x v="2"/>
    <n v="1"/>
    <n v="1160.1638"/>
    <n v="20"/>
    <n v="928.32029999999997"/>
    <n v="334.99019999999996"/>
    <x v="0"/>
    <n v="2025"/>
    <x v="3"/>
    <x v="7"/>
    <n v="0.36085626911314983"/>
    <x v="7"/>
    <x v="7"/>
  </r>
  <r>
    <s v="ORD-10981"/>
    <x v="529"/>
    <s v="Jennifer Taylor"/>
    <x v="0"/>
    <s v="Keyboard Mechanical"/>
    <x v="0"/>
    <n v="1"/>
    <n v="2981.7912999999999"/>
    <n v="20"/>
    <n v="2385.6223"/>
    <n v="273.48070000000001"/>
    <x v="0"/>
    <n v="2025"/>
    <x v="8"/>
    <x v="14"/>
    <n v="0.11463704879016264"/>
    <x v="14"/>
    <x v="14"/>
  </r>
  <r>
    <s v="ORD-10982"/>
    <x v="28"/>
    <s v="Lisa Smith"/>
    <x v="3"/>
    <s v="Running Shoes"/>
    <x v="3"/>
    <n v="2"/>
    <n v="6938.2715999999991"/>
    <n v="15"/>
    <n v="11794.683199999999"/>
    <n v="5710.9205000000002"/>
    <x v="1"/>
    <n v="2024"/>
    <x v="10"/>
    <x v="17"/>
    <n v="0.48419448010269578"/>
    <x v="17"/>
    <x v="17"/>
  </r>
  <r>
    <s v="ORD-10983"/>
    <x v="530"/>
    <s v="Kenneth Jackson"/>
    <x v="4"/>
    <s v="Water Bottle"/>
    <x v="4"/>
    <n v="3"/>
    <n v="5176.2610000000004"/>
    <n v="15"/>
    <n v="13199.938700000001"/>
    <n v="4383.2615999999998"/>
    <x v="0"/>
    <n v="2025"/>
    <x v="4"/>
    <x v="16"/>
    <n v="0.33206681482543549"/>
    <x v="16"/>
    <x v="16"/>
  </r>
  <r>
    <s v="ORD-10984"/>
    <x v="387"/>
    <s v="Susan Taylor"/>
    <x v="0"/>
    <s v="Blender"/>
    <x v="2"/>
    <n v="1"/>
    <n v="3938.5005999999994"/>
    <n v="10"/>
    <n v="3544.8397999999997"/>
    <n v="1234.9214999999999"/>
    <x v="0"/>
    <n v="2025"/>
    <x v="6"/>
    <x v="20"/>
    <n v="0.34837159636946075"/>
    <x v="20"/>
    <x v="20"/>
  </r>
  <r>
    <s v="ORD-10985"/>
    <x v="397"/>
    <s v="William Anderson"/>
    <x v="2"/>
    <s v="Cycling Gloves"/>
    <x v="4"/>
    <n v="2"/>
    <n v="3704.7644999999998"/>
    <n v="0"/>
    <n v="7409.5289999999995"/>
    <n v="2422.5279999999998"/>
    <x v="0"/>
    <n v="2025"/>
    <x v="2"/>
    <x v="9"/>
    <n v="0.32694763729246484"/>
    <x v="9"/>
    <x v="9"/>
  </r>
  <r>
    <s v="ORD-10986"/>
    <x v="106"/>
    <s v="Linda Lopez"/>
    <x v="2"/>
    <s v="Throw Blanket"/>
    <x v="2"/>
    <n v="4"/>
    <n v="5639.9479999999994"/>
    <n v="5"/>
    <n v="21431.802399999997"/>
    <n v="5691.0482000000002"/>
    <x v="0"/>
    <n v="2025"/>
    <x v="7"/>
    <x v="8"/>
    <n v="0.26554221123277999"/>
    <x v="8"/>
    <x v="8"/>
  </r>
  <r>
    <s v="ORD-10987"/>
    <x v="141"/>
    <s v="Jennifer Ramirez"/>
    <x v="1"/>
    <s v="Wireless Headphones"/>
    <x v="0"/>
    <n v="3"/>
    <n v="5181.9387999999999"/>
    <n v="0"/>
    <n v="15545.8164"/>
    <n v="2150.9398999999999"/>
    <x v="1"/>
    <n v="2024"/>
    <x v="5"/>
    <x v="18"/>
    <n v="0.13836133430728026"/>
    <x v="18"/>
    <x v="18"/>
  </r>
  <r>
    <s v="ORD-10988"/>
    <x v="88"/>
    <s v="Sandra Lee"/>
    <x v="2"/>
    <s v="Perfume Travel"/>
    <x v="1"/>
    <n v="3"/>
    <n v="2975.1671999999999"/>
    <n v="0"/>
    <n v="8925.5015999999996"/>
    <n v="4783.5464999999995"/>
    <x v="0"/>
    <n v="2024"/>
    <x v="1"/>
    <x v="11"/>
    <n v="0.53594147582697194"/>
    <x v="11"/>
    <x v="11"/>
  </r>
  <r>
    <s v="ORD-10989"/>
    <x v="531"/>
    <s v="David Sanchez"/>
    <x v="3"/>
    <s v="Scented Candle Set"/>
    <x v="2"/>
    <n v="1"/>
    <n v="2999.7709999999997"/>
    <n v="20"/>
    <n v="2399.8168000000001"/>
    <n v="840.31439999999998"/>
    <x v="1"/>
    <n v="2024"/>
    <x v="2"/>
    <x v="2"/>
    <n v="0.35015772870662459"/>
    <x v="2"/>
    <x v="2"/>
  </r>
  <r>
    <s v="ORD-10990"/>
    <x v="532"/>
    <s v="Daniel Hernandez"/>
    <x v="0"/>
    <s v="Shampoo Organic"/>
    <x v="1"/>
    <n v="2"/>
    <n v="2282.4755999999998"/>
    <n v="5"/>
    <n v="4336.8928999999998"/>
    <n v="2208.6641999999997"/>
    <x v="1"/>
    <n v="2025"/>
    <x v="0"/>
    <x v="13"/>
    <n v="0.50927340170194191"/>
    <x v="13"/>
    <x v="13"/>
  </r>
  <r>
    <s v="ORD-10991"/>
    <x v="42"/>
    <s v="Matthew Jackson"/>
    <x v="2"/>
    <s v="Knife Set"/>
    <x v="2"/>
    <n v="1"/>
    <n v="5045.6715999999997"/>
    <n v="0"/>
    <n v="5045.6715999999997"/>
    <n v="1442.1612"/>
    <x v="2"/>
    <n v="2024"/>
    <x v="2"/>
    <x v="2"/>
    <n v="0.28582145536384096"/>
    <x v="2"/>
    <x v="2"/>
  </r>
  <r>
    <s v="ORD-10992"/>
    <x v="320"/>
    <s v="Linda Ramirez"/>
    <x v="1"/>
    <s v="Polo Shirt"/>
    <x v="3"/>
    <n v="2"/>
    <n v="7916.7457999999997"/>
    <n v="0"/>
    <n v="15833.491599999999"/>
    <n v="8290.5342999999993"/>
    <x v="1"/>
    <n v="2024"/>
    <x v="0"/>
    <x v="0"/>
    <n v="0.52360745876165427"/>
    <x v="0"/>
    <x v="0"/>
  </r>
  <r>
    <s v="ORD-10993"/>
    <x v="521"/>
    <s v="James Ramirez"/>
    <x v="2"/>
    <s v="Cotton T-Shirt"/>
    <x v="3"/>
    <n v="2"/>
    <n v="7105.7667000000001"/>
    <n v="5"/>
    <n v="13500.862099999998"/>
    <n v="6107.4202000000005"/>
    <x v="1"/>
    <n v="2024"/>
    <x v="2"/>
    <x v="2"/>
    <n v="0.45237260811663288"/>
    <x v="2"/>
    <x v="2"/>
  </r>
  <r>
    <s v="ORD-10994"/>
    <x v="489"/>
    <s v="Lisa Wilson"/>
    <x v="2"/>
    <s v="Running Shoes"/>
    <x v="3"/>
    <n v="2"/>
    <n v="6383.7397999999994"/>
    <n v="25"/>
    <n v="9575.6096999999991"/>
    <n v="3888.3467000000001"/>
    <x v="0"/>
    <n v="2025"/>
    <x v="8"/>
    <x v="14"/>
    <n v="0.40606779326020365"/>
    <x v="14"/>
    <x v="14"/>
  </r>
  <r>
    <s v="ORD-10995"/>
    <x v="3"/>
    <s v="Joshua Brown"/>
    <x v="4"/>
    <s v="Cargo Shorts"/>
    <x v="3"/>
    <n v="1"/>
    <n v="5296.4411"/>
    <n v="15"/>
    <n v="4501.5491000000002"/>
    <n v="1904.9018999999998"/>
    <x v="0"/>
    <n v="2024"/>
    <x v="3"/>
    <x v="3"/>
    <n v="0.42316586083666169"/>
    <x v="3"/>
    <x v="3"/>
  </r>
  <r>
    <s v="ORD-10996"/>
    <x v="45"/>
    <s v="Mary Thomas"/>
    <x v="2"/>
    <s v="Yoga Pants"/>
    <x v="3"/>
    <n v="1"/>
    <n v="7090.6259"/>
    <n v="25"/>
    <n v="5318.2060000000001"/>
    <n v="2814.2961999999998"/>
    <x v="1"/>
    <n v="2025"/>
    <x v="4"/>
    <x v="16"/>
    <n v="0.52918149466192166"/>
    <x v="16"/>
    <x v="16"/>
  </r>
  <r>
    <s v="ORD-10997"/>
    <x v="533"/>
    <s v="Ashley Anderson"/>
    <x v="3"/>
    <s v="USB-C Hub"/>
    <x v="0"/>
    <n v="2"/>
    <n v="7896.8734999999997"/>
    <n v="15"/>
    <n v="13425.158100000001"/>
    <n v="2576.7748999999999"/>
    <x v="1"/>
    <n v="2025"/>
    <x v="3"/>
    <x v="7"/>
    <n v="0.19193627969267638"/>
    <x v="7"/>
    <x v="7"/>
  </r>
  <r>
    <s v="ORD-10998"/>
    <x v="24"/>
    <s v="Mary Miller"/>
    <x v="1"/>
    <s v="Polo Shirt"/>
    <x v="3"/>
    <n v="3"/>
    <n v="3924.3060999999998"/>
    <n v="10"/>
    <n v="10595.721099999999"/>
    <n v="5799.8726999999999"/>
    <x v="1"/>
    <n v="2025"/>
    <x v="8"/>
    <x v="14"/>
    <n v="0.54737876216843806"/>
    <x v="14"/>
    <x v="14"/>
  </r>
  <r>
    <s v="ORD-10999"/>
    <x v="534"/>
    <s v="Jennifer Lewis"/>
    <x v="0"/>
    <s v="Tablet Case"/>
    <x v="0"/>
    <n v="1"/>
    <n v="7113.3370999999997"/>
    <n v="15"/>
    <n v="6045.9106999999995"/>
    <n v="881.00530000000003"/>
    <x v="0"/>
    <n v="2024"/>
    <x v="0"/>
    <x v="0"/>
    <n v="0.14571920488339335"/>
    <x v="0"/>
    <x v="0"/>
  </r>
  <r>
    <s v="ORD-11000"/>
    <x v="535"/>
    <s v="Michael Smith"/>
    <x v="4"/>
    <s v="Resistance Bands"/>
    <x v="4"/>
    <n v="2"/>
    <n v="1600.1932999999999"/>
    <n v="10"/>
    <n v="2880.5371999999998"/>
    <n v="810.97910000000002"/>
    <x v="0"/>
    <n v="2025"/>
    <x v="0"/>
    <x v="13"/>
    <n v="0.28153745072273328"/>
    <x v="1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E5C3D-1060-4CB5-BD58-7E6D72BB90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21"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/>
    <pivotField numFmtId="165" showAll="0"/>
    <pivotField numFmtId="166" showAll="0"/>
    <pivotField dataField="1" numFmtId="166" showAll="0"/>
    <pivotField showAll="0"/>
    <pivotField showAll="0"/>
    <pivotField showAll="0"/>
    <pivotField showAll="0"/>
    <pivotField numFmtId="10" showAll="0"/>
    <pivotField showAll="0"/>
    <pivotField numFmtId="167" showAll="0">
      <items count="25">
        <item x="4"/>
        <item x="23"/>
        <item x="11"/>
        <item x="10"/>
        <item x="15"/>
        <item x="6"/>
        <item x="0"/>
        <item x="18"/>
        <item x="17"/>
        <item x="12"/>
        <item x="3"/>
        <item x="2"/>
        <item x="16"/>
        <item x="19"/>
        <item x="1"/>
        <item x="8"/>
        <item x="22"/>
        <item x="20"/>
        <item x="13"/>
        <item x="5"/>
        <item x="21"/>
        <item x="14"/>
        <item x="7"/>
        <item x="9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6">
    <i>
      <x v="1"/>
    </i>
    <i>
      <x/>
    </i>
    <i>
      <x v="3"/>
    </i>
    <i>
      <x v="2"/>
    </i>
    <i>
      <x v="4"/>
    </i>
    <i t="grand">
      <x/>
    </i>
  </rowItems>
  <colItems count="1">
    <i/>
  </colItems>
  <dataFields count="1">
    <dataField name="Sum of Profit" fld="10" baseField="0" baseItem="0" numFmtId="166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976A3-366F-426F-8DC8-A0810AF303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dataField="1" numFmtId="166" showAll="0"/>
    <pivotField numFmtId="166" showAll="0"/>
    <pivotField showAll="0"/>
    <pivotField showAll="0"/>
    <pivotField showAll="0"/>
    <pivotField axis="axisRow" showAll="0" sortType="ascending">
      <items count="25">
        <item x="4"/>
        <item x="23"/>
        <item x="11"/>
        <item x="10"/>
        <item x="15"/>
        <item x="6"/>
        <item x="0"/>
        <item x="18"/>
        <item x="17"/>
        <item x="12"/>
        <item x="3"/>
        <item x="2"/>
        <item x="16"/>
        <item x="19"/>
        <item x="1"/>
        <item x="8"/>
        <item x="22"/>
        <item x="20"/>
        <item x="13"/>
        <item x="5"/>
        <item x="21"/>
        <item x="14"/>
        <item x="7"/>
        <item x="9"/>
        <item t="default"/>
      </items>
    </pivotField>
    <pivotField numFmtId="10" showAll="0"/>
    <pivotField showAll="0" sortType="ascending"/>
    <pivotField numFmtId="167" showAll="0">
      <items count="25">
        <item x="4"/>
        <item x="23"/>
        <item x="11"/>
        <item x="10"/>
        <item x="15"/>
        <item x="6"/>
        <item x="0"/>
        <item x="18"/>
        <item x="17"/>
        <item x="12"/>
        <item x="3"/>
        <item x="2"/>
        <item x="16"/>
        <item x="19"/>
        <item x="1"/>
        <item x="8"/>
        <item x="22"/>
        <item x="20"/>
        <item x="13"/>
        <item x="5"/>
        <item x="21"/>
        <item x="14"/>
        <item x="7"/>
        <item x="9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 sortType="ascending">
      <items count="5">
        <item sd="0" x="0"/>
        <item sd="0" x="3"/>
        <item sd="0" x="1"/>
        <item sd="0" x="2"/>
        <item t="default"/>
      </items>
    </pivotField>
  </pivotFields>
  <rowFields count="1">
    <field x="1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Revenue" fld="9" baseField="0" baseItem="0" numFmtId="166"/>
  </dataFields>
  <formats count="2">
    <format dxfId="1">
      <pivotArea dataOnly="0" labelOnly="1" fieldPosition="0">
        <references count="1">
          <reference field="14" count="0"/>
        </references>
      </pivotArea>
    </format>
    <format dxfId="0">
      <pivotArea field="14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8E42B-73BF-407B-BA5A-8B24409A09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1">
    <pivotField showAll="0"/>
    <pivotField showAll="0"/>
    <pivotField showAll="0"/>
    <pivotField axis="axisRow" showAll="0" sortType="descending">
      <items count="6">
        <item x="1"/>
        <item x="3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6" showAll="0"/>
    <pivotField numFmtId="165" showAll="0"/>
    <pivotField dataField="1" numFmtId="166" showAll="0"/>
    <pivotField numFmtId="166" showAll="0"/>
    <pivotField showAll="0"/>
    <pivotField showAll="0"/>
    <pivotField showAll="0"/>
    <pivotField numFmtId="167" showAll="0"/>
    <pivotField numFmtId="10" showAll="0"/>
    <pivotField showAll="0"/>
    <pivotField numFmtId="167" showAll="0">
      <items count="25">
        <item x="4"/>
        <item x="23"/>
        <item x="11"/>
        <item x="10"/>
        <item x="15"/>
        <item x="6"/>
        <item x="0"/>
        <item x="18"/>
        <item x="17"/>
        <item x="12"/>
        <item x="3"/>
        <item x="2"/>
        <item x="16"/>
        <item x="19"/>
        <item x="1"/>
        <item x="8"/>
        <item x="22"/>
        <item x="20"/>
        <item x="13"/>
        <item x="5"/>
        <item x="21"/>
        <item x="14"/>
        <item x="7"/>
        <item x="9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Sum of Total Revenue" fld="9" baseField="0" baseItem="0" numFmtId="166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2EC68-EF8B-4021-B4AD-197875C95C4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dataField="1" numFmtId="166" showAll="0"/>
    <pivotField numFmtId="166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7" showAll="0"/>
    <pivotField numFmtId="10" showAll="0"/>
    <pivotField showAll="0"/>
    <pivotField numFmtId="167" showAll="0">
      <items count="25">
        <item x="4"/>
        <item x="23"/>
        <item x="11"/>
        <item x="10"/>
        <item x="15"/>
        <item x="6"/>
        <item x="0"/>
        <item x="18"/>
        <item x="17"/>
        <item x="12"/>
        <item x="3"/>
        <item x="2"/>
        <item x="16"/>
        <item x="19"/>
        <item x="1"/>
        <item x="8"/>
        <item x="22"/>
        <item x="20"/>
        <item x="13"/>
        <item x="5"/>
        <item x="21"/>
        <item x="14"/>
        <item x="7"/>
        <item x="9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 Revenue" fld="9" baseField="0" baseItem="0" numFmtId="166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08389-89D8-4764-A554-D80294A43F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1"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6" showAll="0"/>
    <pivotField numFmtId="165" showAll="0"/>
    <pivotField numFmtId="166" showAll="0"/>
    <pivotField numFmtId="166" showAll="0"/>
    <pivotField showAll="0"/>
    <pivotField showAll="0"/>
    <pivotField showAll="0"/>
    <pivotField numFmtId="167" showAll="0"/>
    <pivotField numFmtId="10" showAll="0"/>
    <pivotField showAll="0"/>
    <pivotField numFmtId="167" showAll="0">
      <items count="25">
        <item x="4"/>
        <item x="23"/>
        <item x="11"/>
        <item x="10"/>
        <item x="15"/>
        <item x="6"/>
        <item x="0"/>
        <item x="18"/>
        <item x="17"/>
        <item x="12"/>
        <item x="3"/>
        <item x="2"/>
        <item x="16"/>
        <item x="19"/>
        <item x="1"/>
        <item x="8"/>
        <item x="22"/>
        <item x="20"/>
        <item x="13"/>
        <item x="5"/>
        <item x="21"/>
        <item x="14"/>
        <item x="7"/>
        <item x="9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24FE0-F881-41AC-94E3-8EF7E1367DA0}" name="Dataset" displayName="Dataset" ref="A1:R1001" totalsRowShown="0" headerRowDxfId="30" dataDxfId="28" headerRowBorderDxfId="29" tableBorderDxfId="27" totalsRowBorderDxfId="26">
  <autoFilter ref="A1:R1001" xr:uid="{944777A6-9357-4ADC-A5AC-B71990835A07}"/>
  <tableColumns count="18">
    <tableColumn id="1" xr3:uid="{136E476B-593D-49D5-8038-019D89102FF0}" name="Order ID" dataDxfId="25"/>
    <tableColumn id="2" xr3:uid="{CBF90040-B3FC-479E-AAE2-E9D0C887A690}" name="Order Date" dataDxfId="24"/>
    <tableColumn id="3" xr3:uid="{BD56F815-FE19-446F-A446-4F27C2B6B8EC}" name="Customer Name" dataDxfId="23"/>
    <tableColumn id="4" xr3:uid="{55EC3337-8654-4F83-B40C-E67343469AE4}" name="Region" dataDxfId="22"/>
    <tableColumn id="5" xr3:uid="{815E2828-0923-459C-8EC8-50E67839163A}" name="Product Name" dataDxfId="21"/>
    <tableColumn id="6" xr3:uid="{7CE11F78-D57C-4B53-BB05-DC05ACA9F078}" name="Category" dataDxfId="20"/>
    <tableColumn id="7" xr3:uid="{279B64F8-C126-40A7-9C44-6D28E82C1F54}" name="Quantity" dataDxfId="19"/>
    <tableColumn id="17" xr3:uid="{0606AD63-AA1F-4975-8988-5E27B7C34011}" name="Unit Price" dataDxfId="18"/>
    <tableColumn id="9" xr3:uid="{B7EC23F6-8230-4DF8-9CF1-3F453B3D32F2}" name="Discount %" dataDxfId="17"/>
    <tableColumn id="16" xr3:uid="{A549455E-CA8B-4713-8598-BC24F8A21DE5}" name="Total Revenue" dataDxfId="16"/>
    <tableColumn id="18" xr3:uid="{C7D3F95D-ACC2-42D2-B53E-F578B5D1F574}" name="Profit" dataDxfId="15"/>
    <tableColumn id="12" xr3:uid="{069A1831-7443-46FD-89D5-2B349D7AA657}" name="Ship Mode" dataDxfId="14"/>
    <tableColumn id="8" xr3:uid="{28D2E707-4D74-4E4E-9B4C-C75804414DB5}" name="Year" dataDxfId="13">
      <calculatedColumnFormula>YEAR(B2)</calculatedColumnFormula>
    </tableColumn>
    <tableColumn id="10" xr3:uid="{5B036D92-486E-4ED2-8085-BF039B68D677}" name="Month" dataDxfId="12">
      <calculatedColumnFormula>MONTH(B2)</calculatedColumnFormula>
    </tableColumn>
    <tableColumn id="11" xr3:uid="{C8758F77-6C5B-42C3-80BB-6105276459BE}" name="Month-Year" dataDxfId="11">
      <calculatedColumnFormula>DATE(YEAR(B2),MONTH(B2),1)</calculatedColumnFormula>
    </tableColumn>
    <tableColumn id="13" xr3:uid="{CD84ACCF-BFFD-459E-B8C1-D97342A72E1B}" name="Profit Margin" dataDxfId="10" dataCellStyle="Percent">
      <calculatedColumnFormula>(K2/J2)</calculatedColumnFormula>
    </tableColumn>
    <tableColumn id="14" xr3:uid="{97BDE221-A237-4371-B5A5-F15FC787CCCA}" name="Month-Year Sort" dataDxfId="9">
      <calculatedColumnFormula>YEAR(B2)*100+MONTH(B2)</calculatedColumnFormula>
    </tableColumn>
    <tableColumn id="15" xr3:uid="{F27CC110-26B4-4E02-831B-48BA7BEE4548}" name="Month-Year Date." dataDxfId="8">
      <calculatedColumnFormula>DATE(YEAR(B2),MONTH(B2),1)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2E6331-EAB4-451B-A0C2-A50797FEA325}" name="Table2" displayName="Table2" ref="A1:B5" totalsRowShown="0" headerRowDxfId="7" headerRowBorderDxfId="6" tableBorderDxfId="5" totalsRowBorderDxfId="4">
  <autoFilter ref="A1:B5" xr:uid="{332E6331-EAB4-451B-A0C2-A50797FEA325}"/>
  <tableColumns count="2">
    <tableColumn id="1" xr3:uid="{4550B694-75A1-4744-A724-D2EA66C653A0}" name="Metric" dataDxfId="3"/>
    <tableColumn id="2" xr3:uid="{F85B3DE9-A961-4493-BB9C-CAFE3BD20167}" name="Val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5F25-FB53-46CD-A19C-DDB47AE019A7}">
  <dimension ref="A1:AB36"/>
  <sheetViews>
    <sheetView showGridLines="0" tabSelected="1" zoomScale="80" zoomScaleNormal="80" workbookViewId="0">
      <selection activeCell="K49" sqref="K49"/>
    </sheetView>
  </sheetViews>
  <sheetFormatPr defaultRowHeight="15" x14ac:dyDescent="0.25"/>
  <cols>
    <col min="1" max="1" width="9.140625" customWidth="1"/>
    <col min="14" max="14" width="9.140625" customWidth="1"/>
  </cols>
  <sheetData>
    <row r="1" spans="1:28" ht="15" customHeight="1" x14ac:dyDescent="0.25">
      <c r="A1" s="38" t="s">
        <v>1799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44"/>
    </row>
    <row r="2" spans="1:28" ht="15" customHeight="1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44"/>
    </row>
    <row r="3" spans="1:28" ht="18.75" x14ac:dyDescent="0.25">
      <c r="A3" s="37" t="s">
        <v>1800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45"/>
    </row>
    <row r="4" spans="1:28" ht="3.75" customHeight="1" x14ac:dyDescent="0.25"/>
    <row r="5" spans="1:28" x14ac:dyDescent="0.25">
      <c r="A5" s="42" t="s">
        <v>1801</v>
      </c>
      <c r="B5" s="42"/>
      <c r="C5" s="42"/>
      <c r="D5" s="42"/>
      <c r="E5" s="42"/>
      <c r="F5" s="42"/>
      <c r="G5" s="47"/>
      <c r="H5" s="43" t="s">
        <v>1802</v>
      </c>
      <c r="I5" s="43"/>
      <c r="J5" s="43"/>
      <c r="K5" s="43"/>
      <c r="L5" s="43"/>
      <c r="M5" s="43"/>
      <c r="N5" s="47"/>
      <c r="O5" s="49" t="s">
        <v>1803</v>
      </c>
      <c r="P5" s="49"/>
      <c r="Q5" s="49"/>
      <c r="R5" s="49"/>
      <c r="S5" s="49"/>
      <c r="T5" s="49"/>
      <c r="U5" s="36"/>
      <c r="V5" s="46" t="s">
        <v>1804</v>
      </c>
      <c r="W5" s="46"/>
      <c r="X5" s="46"/>
      <c r="Y5" s="46"/>
      <c r="Z5" s="46"/>
      <c r="AA5" s="46"/>
    </row>
    <row r="6" spans="1:28" ht="15" customHeight="1" x14ac:dyDescent="0.25">
      <c r="A6" s="39">
        <f>'KPI Summary'!B2</f>
        <v>8535872.9842999987</v>
      </c>
      <c r="B6" s="39"/>
      <c r="C6" s="39"/>
      <c r="D6" s="39"/>
      <c r="E6" s="39"/>
      <c r="F6" s="39"/>
      <c r="G6" s="47"/>
      <c r="H6" s="40">
        <f>'KPI Summary'!B3</f>
        <v>2663657.5419000024</v>
      </c>
      <c r="I6" s="40"/>
      <c r="J6" s="40"/>
      <c r="K6" s="40"/>
      <c r="L6" s="40"/>
      <c r="M6" s="40"/>
      <c r="N6" s="48"/>
      <c r="O6" s="50">
        <f>'KPI Summary'!B4</f>
        <v>1000</v>
      </c>
      <c r="P6" s="50"/>
      <c r="Q6" s="50"/>
      <c r="R6" s="50"/>
      <c r="S6" s="50"/>
      <c r="T6" s="50"/>
      <c r="U6" s="36"/>
      <c r="V6" s="41">
        <f>'KPI Summary'!B5</f>
        <v>8535.8729842999983</v>
      </c>
      <c r="W6" s="41"/>
      <c r="X6" s="41"/>
      <c r="Y6" s="41"/>
      <c r="Z6" s="41"/>
      <c r="AA6" s="41"/>
    </row>
    <row r="7" spans="1:28" ht="15" customHeight="1" x14ac:dyDescent="0.25">
      <c r="A7" s="39"/>
      <c r="B7" s="39"/>
      <c r="C7" s="39"/>
      <c r="D7" s="39"/>
      <c r="E7" s="39"/>
      <c r="F7" s="39"/>
      <c r="G7" s="47"/>
      <c r="H7" s="40"/>
      <c r="I7" s="40"/>
      <c r="J7" s="40"/>
      <c r="K7" s="40"/>
      <c r="L7" s="40"/>
      <c r="M7" s="40"/>
      <c r="N7" s="48"/>
      <c r="O7" s="50"/>
      <c r="P7" s="50"/>
      <c r="Q7" s="50"/>
      <c r="R7" s="50"/>
      <c r="S7" s="50"/>
      <c r="T7" s="50"/>
      <c r="U7" s="36"/>
      <c r="V7" s="41"/>
      <c r="W7" s="41"/>
      <c r="X7" s="41"/>
      <c r="Y7" s="41"/>
      <c r="Z7" s="41"/>
      <c r="AA7" s="41"/>
    </row>
    <row r="8" spans="1:28" x14ac:dyDescent="0.25">
      <c r="J8" s="35"/>
      <c r="K8" s="35"/>
      <c r="L8" s="35"/>
      <c r="M8" s="35"/>
      <c r="N8" s="35"/>
    </row>
    <row r="25" spans="25:27" x14ac:dyDescent="0.25">
      <c r="Y25" s="51"/>
      <c r="Z25" s="51"/>
      <c r="AA25" s="51"/>
    </row>
    <row r="36" s="52" customFormat="1" x14ac:dyDescent="0.25"/>
  </sheetData>
  <mergeCells count="10">
    <mergeCell ref="A5:F5"/>
    <mergeCell ref="A6:F7"/>
    <mergeCell ref="O5:T5"/>
    <mergeCell ref="O6:T7"/>
    <mergeCell ref="H5:M5"/>
    <mergeCell ref="H6:M7"/>
    <mergeCell ref="A1:AA2"/>
    <mergeCell ref="A3:AA3"/>
    <mergeCell ref="V5:AA5"/>
    <mergeCell ref="V6:AA7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3D4D-222C-4D7E-9CFE-8FD0E76428CA}">
  <sheetPr codeName="Sheet1"/>
  <dimension ref="A1:R1001"/>
  <sheetViews>
    <sheetView zoomScale="85" zoomScaleNormal="85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21.5703125" bestFit="1" customWidth="1"/>
    <col min="4" max="4" width="11.85546875" bestFit="1" customWidth="1"/>
    <col min="5" max="5" width="20.42578125" bestFit="1" customWidth="1"/>
    <col min="6" max="6" width="13.7109375" bestFit="1" customWidth="1"/>
    <col min="7" max="7" width="13.28515625" bestFit="1" customWidth="1"/>
    <col min="8" max="8" width="14.28515625" bestFit="1" customWidth="1"/>
    <col min="9" max="9" width="15.7109375" bestFit="1" customWidth="1"/>
    <col min="10" max="10" width="18.5703125" bestFit="1" customWidth="1"/>
    <col min="11" max="11" width="10.5703125" bestFit="1" customWidth="1"/>
    <col min="12" max="13" width="15" bestFit="1" customWidth="1"/>
    <col min="15" max="15" width="16" bestFit="1" customWidth="1"/>
    <col min="16" max="16" width="17.28515625" bestFit="1" customWidth="1"/>
    <col min="17" max="17" width="20.28515625" bestFit="1" customWidth="1"/>
    <col min="18" max="18" width="21.42578125" style="25" bestFit="1" customWidth="1"/>
  </cols>
  <sheetData>
    <row r="1" spans="1:1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2" t="s">
        <v>1783</v>
      </c>
      <c r="N1" s="2" t="s">
        <v>1784</v>
      </c>
      <c r="O1" s="2" t="s">
        <v>1785</v>
      </c>
      <c r="P1" s="2" t="s">
        <v>1786</v>
      </c>
      <c r="Q1" s="2" t="s">
        <v>1796</v>
      </c>
      <c r="R1" s="22" t="s">
        <v>1797</v>
      </c>
    </row>
    <row r="2" spans="1:18" x14ac:dyDescent="0.25">
      <c r="A2" s="5" t="s">
        <v>12</v>
      </c>
      <c r="B2" s="9">
        <v>45476</v>
      </c>
      <c r="C2" s="5" t="s">
        <v>13</v>
      </c>
      <c r="D2" s="10" t="s">
        <v>14</v>
      </c>
      <c r="E2" s="10" t="s">
        <v>15</v>
      </c>
      <c r="F2" s="10" t="s">
        <v>16</v>
      </c>
      <c r="G2" s="5">
        <v>1</v>
      </c>
      <c r="H2" s="11">
        <v>12641.6217</v>
      </c>
      <c r="I2" s="12">
        <v>25</v>
      </c>
      <c r="J2" s="11">
        <v>9480.9796999999999</v>
      </c>
      <c r="K2" s="11">
        <v>2133.9065000000001</v>
      </c>
      <c r="L2" s="10" t="s">
        <v>17</v>
      </c>
      <c r="M2" s="5">
        <f>YEAR(B2)</f>
        <v>2024</v>
      </c>
      <c r="N2" s="5">
        <f t="shared" ref="N2:N65" si="0">MONTH(B2)</f>
        <v>7</v>
      </c>
      <c r="O2" s="23">
        <f t="shared" ref="O2:O65" si="1">DATE(YEAR(B2),MONTH(B2),1)</f>
        <v>45474</v>
      </c>
      <c r="P2" s="13">
        <f t="shared" ref="P2:P65" si="2">(K2/J2)</f>
        <v>0.22507236251122867</v>
      </c>
      <c r="Q2" s="19">
        <f t="shared" ref="Q2:Q65" si="3">YEAR(B2)*100+MONTH(B2)</f>
        <v>202407</v>
      </c>
      <c r="R2" s="23">
        <f t="shared" ref="R2:R65" si="4">DATE(YEAR(B2),MONTH(B2),1)</f>
        <v>45474</v>
      </c>
    </row>
    <row r="3" spans="1:18" x14ac:dyDescent="0.25">
      <c r="A3" s="5" t="s">
        <v>18</v>
      </c>
      <c r="B3" s="9">
        <v>45727</v>
      </c>
      <c r="C3" s="5" t="s">
        <v>19</v>
      </c>
      <c r="D3" s="10" t="s">
        <v>20</v>
      </c>
      <c r="E3" s="10" t="s">
        <v>21</v>
      </c>
      <c r="F3" s="10" t="s">
        <v>22</v>
      </c>
      <c r="G3" s="5">
        <v>1</v>
      </c>
      <c r="H3" s="11">
        <v>2899.4631999999997</v>
      </c>
      <c r="I3" s="12">
        <v>0</v>
      </c>
      <c r="J3" s="11">
        <v>2899.4631999999997</v>
      </c>
      <c r="K3" s="11">
        <v>1843.3924</v>
      </c>
      <c r="L3" s="10" t="s">
        <v>23</v>
      </c>
      <c r="M3" s="5">
        <f t="shared" ref="M3:M65" si="5">YEAR(B3)</f>
        <v>2025</v>
      </c>
      <c r="N3" s="5">
        <f t="shared" si="0"/>
        <v>3</v>
      </c>
      <c r="O3" s="21">
        <f t="shared" si="1"/>
        <v>45717</v>
      </c>
      <c r="P3" s="13">
        <f t="shared" si="2"/>
        <v>0.63577023498694518</v>
      </c>
      <c r="Q3" s="5">
        <f t="shared" si="3"/>
        <v>202503</v>
      </c>
      <c r="R3" s="21">
        <f t="shared" si="4"/>
        <v>45717</v>
      </c>
    </row>
    <row r="4" spans="1:18" x14ac:dyDescent="0.25">
      <c r="A4" s="5" t="s">
        <v>24</v>
      </c>
      <c r="B4" s="9">
        <v>45632</v>
      </c>
      <c r="C4" s="5" t="s">
        <v>25</v>
      </c>
      <c r="D4" s="10" t="s">
        <v>26</v>
      </c>
      <c r="E4" s="10" t="s">
        <v>27</v>
      </c>
      <c r="F4" s="10" t="s">
        <v>22</v>
      </c>
      <c r="G4" s="5">
        <v>2</v>
      </c>
      <c r="H4" s="11">
        <v>2210.5567999999998</v>
      </c>
      <c r="I4" s="12">
        <v>10</v>
      </c>
      <c r="J4" s="11">
        <v>3979.1914999999995</v>
      </c>
      <c r="K4" s="11">
        <v>2284.3681999999999</v>
      </c>
      <c r="L4" s="10" t="s">
        <v>23</v>
      </c>
      <c r="M4" s="5">
        <f t="shared" si="5"/>
        <v>2024</v>
      </c>
      <c r="N4" s="5">
        <f t="shared" si="0"/>
        <v>12</v>
      </c>
      <c r="O4" s="21">
        <f t="shared" si="1"/>
        <v>45627</v>
      </c>
      <c r="P4" s="13">
        <f t="shared" si="2"/>
        <v>0.57407847800237821</v>
      </c>
      <c r="Q4" s="5">
        <f t="shared" si="3"/>
        <v>202412</v>
      </c>
      <c r="R4" s="21">
        <f t="shared" si="4"/>
        <v>45627</v>
      </c>
    </row>
    <row r="5" spans="1:18" x14ac:dyDescent="0.25">
      <c r="A5" s="5" t="s">
        <v>28</v>
      </c>
      <c r="B5" s="14">
        <v>45620</v>
      </c>
      <c r="C5" s="5" t="s">
        <v>29</v>
      </c>
      <c r="D5" s="10" t="s">
        <v>26</v>
      </c>
      <c r="E5" s="10" t="s">
        <v>30</v>
      </c>
      <c r="F5" s="10" t="s">
        <v>16</v>
      </c>
      <c r="G5" s="15">
        <v>2</v>
      </c>
      <c r="H5" s="11">
        <v>11789.9517</v>
      </c>
      <c r="I5" s="12">
        <v>5</v>
      </c>
      <c r="J5" s="11">
        <v>22400.813599999998</v>
      </c>
      <c r="K5" s="11">
        <v>2613.6806000000001</v>
      </c>
      <c r="L5" s="10" t="s">
        <v>17</v>
      </c>
      <c r="M5" s="5">
        <f t="shared" si="5"/>
        <v>2024</v>
      </c>
      <c r="N5" s="5">
        <f t="shared" si="0"/>
        <v>11</v>
      </c>
      <c r="O5" s="21">
        <f t="shared" si="1"/>
        <v>45597</v>
      </c>
      <c r="P5" s="13">
        <f t="shared" si="2"/>
        <v>0.11667793173369384</v>
      </c>
      <c r="Q5" s="5">
        <f t="shared" si="3"/>
        <v>202411</v>
      </c>
      <c r="R5" s="21">
        <f t="shared" si="4"/>
        <v>45597</v>
      </c>
    </row>
    <row r="6" spans="1:18" x14ac:dyDescent="0.25">
      <c r="A6" s="5" t="s">
        <v>31</v>
      </c>
      <c r="B6" s="14">
        <v>45305</v>
      </c>
      <c r="C6" s="5" t="s">
        <v>32</v>
      </c>
      <c r="D6" s="10" t="s">
        <v>20</v>
      </c>
      <c r="E6" s="10" t="s">
        <v>33</v>
      </c>
      <c r="F6" s="10" t="s">
        <v>16</v>
      </c>
      <c r="G6" s="15">
        <v>2</v>
      </c>
      <c r="H6" s="11">
        <v>6033.6088</v>
      </c>
      <c r="I6" s="12">
        <v>0</v>
      </c>
      <c r="J6" s="11">
        <v>12067.2176</v>
      </c>
      <c r="K6" s="11">
        <v>1231.1362999999999</v>
      </c>
      <c r="L6" s="10" t="s">
        <v>34</v>
      </c>
      <c r="M6" s="5">
        <f t="shared" si="5"/>
        <v>2024</v>
      </c>
      <c r="N6" s="5">
        <f t="shared" si="0"/>
        <v>1</v>
      </c>
      <c r="O6" s="21">
        <f t="shared" si="1"/>
        <v>45292</v>
      </c>
      <c r="P6" s="13">
        <f t="shared" si="2"/>
        <v>0.10202321204516937</v>
      </c>
      <c r="Q6" s="5">
        <f t="shared" si="3"/>
        <v>202401</v>
      </c>
      <c r="R6" s="21">
        <f t="shared" si="4"/>
        <v>45292</v>
      </c>
    </row>
    <row r="7" spans="1:18" x14ac:dyDescent="0.25">
      <c r="A7" s="5" t="s">
        <v>35</v>
      </c>
      <c r="B7" s="14">
        <v>45880</v>
      </c>
      <c r="C7" s="5" t="s">
        <v>36</v>
      </c>
      <c r="D7" s="10" t="s">
        <v>37</v>
      </c>
      <c r="E7" s="10" t="s">
        <v>38</v>
      </c>
      <c r="F7" s="10" t="s">
        <v>39</v>
      </c>
      <c r="G7" s="15">
        <v>1</v>
      </c>
      <c r="H7" s="11">
        <v>4947.2564000000002</v>
      </c>
      <c r="I7" s="12">
        <v>10</v>
      </c>
      <c r="J7" s="11">
        <v>4452.3414999999995</v>
      </c>
      <c r="K7" s="11">
        <v>1327.6588999999999</v>
      </c>
      <c r="L7" s="10" t="s">
        <v>17</v>
      </c>
      <c r="M7" s="5">
        <f t="shared" si="5"/>
        <v>2025</v>
      </c>
      <c r="N7" s="5">
        <f t="shared" si="0"/>
        <v>8</v>
      </c>
      <c r="O7" s="21">
        <f t="shared" si="1"/>
        <v>45870</v>
      </c>
      <c r="P7" s="13">
        <f t="shared" si="2"/>
        <v>0.29819341126461213</v>
      </c>
      <c r="Q7" s="5">
        <f t="shared" si="3"/>
        <v>202508</v>
      </c>
      <c r="R7" s="21">
        <f t="shared" si="4"/>
        <v>45870</v>
      </c>
    </row>
    <row r="8" spans="1:18" x14ac:dyDescent="0.25">
      <c r="A8" s="5" t="s">
        <v>40</v>
      </c>
      <c r="B8" s="14">
        <v>45457</v>
      </c>
      <c r="C8" s="5" t="s">
        <v>41</v>
      </c>
      <c r="D8" s="10" t="s">
        <v>42</v>
      </c>
      <c r="E8" s="10" t="s">
        <v>43</v>
      </c>
      <c r="F8" s="10" t="s">
        <v>22</v>
      </c>
      <c r="G8" s="15">
        <v>1</v>
      </c>
      <c r="H8" s="11">
        <v>1175.3045999999999</v>
      </c>
      <c r="I8" s="12">
        <v>5</v>
      </c>
      <c r="J8" s="11">
        <v>1116.634</v>
      </c>
      <c r="K8" s="11">
        <v>628.34319999999991</v>
      </c>
      <c r="L8" s="10" t="s">
        <v>34</v>
      </c>
      <c r="M8" s="5">
        <f t="shared" si="5"/>
        <v>2024</v>
      </c>
      <c r="N8" s="5">
        <f t="shared" si="0"/>
        <v>6</v>
      </c>
      <c r="O8" s="21">
        <f t="shared" si="1"/>
        <v>45444</v>
      </c>
      <c r="P8" s="13">
        <f t="shared" si="2"/>
        <v>0.56271186440677956</v>
      </c>
      <c r="Q8" s="5">
        <f t="shared" si="3"/>
        <v>202406</v>
      </c>
      <c r="R8" s="21">
        <f t="shared" si="4"/>
        <v>45444</v>
      </c>
    </row>
    <row r="9" spans="1:18" x14ac:dyDescent="0.25">
      <c r="A9" s="5" t="s">
        <v>44</v>
      </c>
      <c r="B9" s="14">
        <v>45602</v>
      </c>
      <c r="C9" s="5" t="s">
        <v>45</v>
      </c>
      <c r="D9" s="10" t="s">
        <v>37</v>
      </c>
      <c r="E9" s="10" t="s">
        <v>33</v>
      </c>
      <c r="F9" s="10" t="s">
        <v>16</v>
      </c>
      <c r="G9" s="15">
        <v>5</v>
      </c>
      <c r="H9" s="11">
        <v>11729.388499999999</v>
      </c>
      <c r="I9" s="12">
        <v>0</v>
      </c>
      <c r="J9" s="11">
        <v>58646.942499999997</v>
      </c>
      <c r="K9" s="11">
        <v>8546.0352999999996</v>
      </c>
      <c r="L9" s="10" t="s">
        <v>17</v>
      </c>
      <c r="M9" s="5">
        <f t="shared" si="5"/>
        <v>2024</v>
      </c>
      <c r="N9" s="5">
        <f t="shared" si="0"/>
        <v>11</v>
      </c>
      <c r="O9" s="21">
        <f t="shared" si="1"/>
        <v>45597</v>
      </c>
      <c r="P9" s="13">
        <f t="shared" si="2"/>
        <v>0.14572004840661557</v>
      </c>
      <c r="Q9" s="5">
        <f t="shared" si="3"/>
        <v>202411</v>
      </c>
      <c r="R9" s="21">
        <f t="shared" si="4"/>
        <v>45597</v>
      </c>
    </row>
    <row r="10" spans="1:18" x14ac:dyDescent="0.25">
      <c r="A10" s="5" t="s">
        <v>46</v>
      </c>
      <c r="B10" s="14">
        <v>45649</v>
      </c>
      <c r="C10" s="5" t="s">
        <v>47</v>
      </c>
      <c r="D10" s="10" t="s">
        <v>37</v>
      </c>
      <c r="E10" s="10" t="s">
        <v>48</v>
      </c>
      <c r="F10" s="10" t="s">
        <v>49</v>
      </c>
      <c r="G10" s="15">
        <v>1</v>
      </c>
      <c r="H10" s="11">
        <v>4284.8463999999994</v>
      </c>
      <c r="I10" s="12">
        <v>0</v>
      </c>
      <c r="J10" s="11">
        <v>4284.8463999999994</v>
      </c>
      <c r="K10" s="11">
        <v>1979.6596</v>
      </c>
      <c r="L10" s="10" t="s">
        <v>17</v>
      </c>
      <c r="M10" s="5">
        <f t="shared" si="5"/>
        <v>2024</v>
      </c>
      <c r="N10" s="5">
        <f t="shared" si="0"/>
        <v>12</v>
      </c>
      <c r="O10" s="21">
        <f t="shared" si="1"/>
        <v>45627</v>
      </c>
      <c r="P10" s="13">
        <f t="shared" si="2"/>
        <v>0.46201413427561844</v>
      </c>
      <c r="Q10" s="5">
        <f t="shared" si="3"/>
        <v>202412</v>
      </c>
      <c r="R10" s="21">
        <f t="shared" si="4"/>
        <v>45627</v>
      </c>
    </row>
    <row r="11" spans="1:18" x14ac:dyDescent="0.25">
      <c r="A11" s="5" t="s">
        <v>50</v>
      </c>
      <c r="B11" s="14">
        <v>45638</v>
      </c>
      <c r="C11" s="5" t="s">
        <v>51</v>
      </c>
      <c r="D11" s="10" t="s">
        <v>42</v>
      </c>
      <c r="E11" s="10" t="s">
        <v>52</v>
      </c>
      <c r="F11" s="10" t="s">
        <v>39</v>
      </c>
      <c r="G11" s="15">
        <v>1</v>
      </c>
      <c r="H11" s="11">
        <v>3461.5653999999995</v>
      </c>
      <c r="I11" s="12">
        <v>5</v>
      </c>
      <c r="J11" s="11">
        <v>3288.3924999999999</v>
      </c>
      <c r="K11" s="11">
        <v>1273.7198000000001</v>
      </c>
      <c r="L11" s="10" t="s">
        <v>17</v>
      </c>
      <c r="M11" s="5">
        <f t="shared" si="5"/>
        <v>2024</v>
      </c>
      <c r="N11" s="5">
        <f t="shared" si="0"/>
        <v>12</v>
      </c>
      <c r="O11" s="21">
        <f t="shared" si="1"/>
        <v>45627</v>
      </c>
      <c r="P11" s="13">
        <f t="shared" si="2"/>
        <v>0.38733812949640289</v>
      </c>
      <c r="Q11" s="5">
        <f t="shared" si="3"/>
        <v>202412</v>
      </c>
      <c r="R11" s="21">
        <f t="shared" si="4"/>
        <v>45627</v>
      </c>
    </row>
    <row r="12" spans="1:18" x14ac:dyDescent="0.25">
      <c r="A12" s="5" t="s">
        <v>53</v>
      </c>
      <c r="B12" s="14">
        <v>45964</v>
      </c>
      <c r="C12" s="5" t="s">
        <v>54</v>
      </c>
      <c r="D12" s="10" t="s">
        <v>20</v>
      </c>
      <c r="E12" s="10" t="s">
        <v>55</v>
      </c>
      <c r="F12" s="10" t="s">
        <v>16</v>
      </c>
      <c r="G12" s="15">
        <v>2</v>
      </c>
      <c r="H12" s="11">
        <v>8070.0463999999993</v>
      </c>
      <c r="I12" s="12">
        <v>25</v>
      </c>
      <c r="J12" s="11">
        <v>12105.069599999999</v>
      </c>
      <c r="K12" s="11">
        <v>2984.6301999999996</v>
      </c>
      <c r="L12" s="10" t="s">
        <v>23</v>
      </c>
      <c r="M12" s="5">
        <f t="shared" si="5"/>
        <v>2025</v>
      </c>
      <c r="N12" s="5">
        <f t="shared" si="0"/>
        <v>11</v>
      </c>
      <c r="O12" s="21">
        <f t="shared" si="1"/>
        <v>45962</v>
      </c>
      <c r="P12" s="13">
        <f t="shared" si="2"/>
        <v>0.24656035021888678</v>
      </c>
      <c r="Q12" s="5">
        <f t="shared" si="3"/>
        <v>202511</v>
      </c>
      <c r="R12" s="21">
        <f t="shared" si="4"/>
        <v>45962</v>
      </c>
    </row>
    <row r="13" spans="1:18" x14ac:dyDescent="0.25">
      <c r="A13" s="5" t="s">
        <v>56</v>
      </c>
      <c r="B13" s="14">
        <v>45887</v>
      </c>
      <c r="C13" s="5" t="s">
        <v>57</v>
      </c>
      <c r="D13" s="10" t="s">
        <v>37</v>
      </c>
      <c r="E13" s="10" t="s">
        <v>58</v>
      </c>
      <c r="F13" s="10" t="s">
        <v>49</v>
      </c>
      <c r="G13" s="15">
        <v>3</v>
      </c>
      <c r="H13" s="11">
        <v>8318.9232999999986</v>
      </c>
      <c r="I13" s="12">
        <v>0</v>
      </c>
      <c r="J13" s="11">
        <v>24956.769899999999</v>
      </c>
      <c r="K13" s="11">
        <v>11078.334099999998</v>
      </c>
      <c r="L13" s="10" t="s">
        <v>17</v>
      </c>
      <c r="M13" s="5">
        <f t="shared" si="5"/>
        <v>2025</v>
      </c>
      <c r="N13" s="5">
        <f t="shared" si="0"/>
        <v>8</v>
      </c>
      <c r="O13" s="21">
        <f t="shared" si="1"/>
        <v>45870</v>
      </c>
      <c r="P13" s="13">
        <f t="shared" si="2"/>
        <v>0.44390095931445034</v>
      </c>
      <c r="Q13" s="5">
        <f t="shared" si="3"/>
        <v>202508</v>
      </c>
      <c r="R13" s="21">
        <f t="shared" si="4"/>
        <v>45870</v>
      </c>
    </row>
    <row r="14" spans="1:18" x14ac:dyDescent="0.25">
      <c r="A14" s="5" t="s">
        <v>59</v>
      </c>
      <c r="B14" s="14">
        <v>45762</v>
      </c>
      <c r="C14" s="5" t="s">
        <v>60</v>
      </c>
      <c r="D14" s="10" t="s">
        <v>42</v>
      </c>
      <c r="E14" s="10" t="s">
        <v>61</v>
      </c>
      <c r="F14" s="10" t="s">
        <v>39</v>
      </c>
      <c r="G14" s="15">
        <v>3</v>
      </c>
      <c r="H14" s="11">
        <v>5790.4096999999992</v>
      </c>
      <c r="I14" s="12">
        <v>20</v>
      </c>
      <c r="J14" s="11">
        <v>13897.361800000001</v>
      </c>
      <c r="K14" s="11">
        <v>4832.7541000000001</v>
      </c>
      <c r="L14" s="10" t="s">
        <v>17</v>
      </c>
      <c r="M14" s="5">
        <f t="shared" si="5"/>
        <v>2025</v>
      </c>
      <c r="N14" s="5">
        <f t="shared" si="0"/>
        <v>4</v>
      </c>
      <c r="O14" s="21">
        <f t="shared" si="1"/>
        <v>45748</v>
      </c>
      <c r="P14" s="13">
        <f t="shared" si="2"/>
        <v>0.34774615279858367</v>
      </c>
      <c r="Q14" s="5">
        <f t="shared" si="3"/>
        <v>202504</v>
      </c>
      <c r="R14" s="21">
        <f t="shared" si="4"/>
        <v>45748</v>
      </c>
    </row>
    <row r="15" spans="1:18" x14ac:dyDescent="0.25">
      <c r="A15" s="5" t="s">
        <v>62</v>
      </c>
      <c r="B15" s="14">
        <v>46019</v>
      </c>
      <c r="C15" s="5" t="s">
        <v>63</v>
      </c>
      <c r="D15" s="10" t="s">
        <v>42</v>
      </c>
      <c r="E15" s="10" t="s">
        <v>64</v>
      </c>
      <c r="F15" s="10" t="s">
        <v>16</v>
      </c>
      <c r="G15" s="15">
        <v>2</v>
      </c>
      <c r="H15" s="11">
        <v>4961.4508999999998</v>
      </c>
      <c r="I15" s="12">
        <v>10</v>
      </c>
      <c r="J15" s="11">
        <v>8930.2330999999995</v>
      </c>
      <c r="K15" s="11">
        <v>751.36220000000003</v>
      </c>
      <c r="L15" s="10" t="s">
        <v>34</v>
      </c>
      <c r="M15" s="5">
        <f t="shared" si="5"/>
        <v>2025</v>
      </c>
      <c r="N15" s="5">
        <f t="shared" si="0"/>
        <v>12</v>
      </c>
      <c r="O15" s="21">
        <f t="shared" si="1"/>
        <v>45992</v>
      </c>
      <c r="P15" s="13">
        <f t="shared" si="2"/>
        <v>8.4136907915651163E-2</v>
      </c>
      <c r="Q15" s="5">
        <f t="shared" si="3"/>
        <v>202512</v>
      </c>
      <c r="R15" s="21">
        <f t="shared" si="4"/>
        <v>45992</v>
      </c>
    </row>
    <row r="16" spans="1:18" x14ac:dyDescent="0.25">
      <c r="A16" s="5" t="s">
        <v>65</v>
      </c>
      <c r="B16" s="14">
        <v>45619</v>
      </c>
      <c r="C16" s="5" t="s">
        <v>66</v>
      </c>
      <c r="D16" s="10" t="s">
        <v>26</v>
      </c>
      <c r="E16" s="10" t="s">
        <v>15</v>
      </c>
      <c r="F16" s="10" t="s">
        <v>16</v>
      </c>
      <c r="G16" s="15">
        <v>2</v>
      </c>
      <c r="H16" s="11">
        <v>2747.1089000000002</v>
      </c>
      <c r="I16" s="12">
        <v>0</v>
      </c>
      <c r="J16" s="11">
        <v>5494.2178000000004</v>
      </c>
      <c r="K16" s="11">
        <v>540.33730000000003</v>
      </c>
      <c r="L16" s="10" t="s">
        <v>17</v>
      </c>
      <c r="M16" s="5">
        <f t="shared" si="5"/>
        <v>2024</v>
      </c>
      <c r="N16" s="5">
        <f t="shared" si="0"/>
        <v>11</v>
      </c>
      <c r="O16" s="21">
        <f t="shared" si="1"/>
        <v>45597</v>
      </c>
      <c r="P16" s="13">
        <f t="shared" si="2"/>
        <v>9.8346538064071648E-2</v>
      </c>
      <c r="Q16" s="5">
        <f t="shared" si="3"/>
        <v>202411</v>
      </c>
      <c r="R16" s="21">
        <f t="shared" si="4"/>
        <v>45597</v>
      </c>
    </row>
    <row r="17" spans="1:18" x14ac:dyDescent="0.25">
      <c r="A17" s="5" t="s">
        <v>67</v>
      </c>
      <c r="B17" s="14">
        <v>45498</v>
      </c>
      <c r="C17" s="5" t="s">
        <v>68</v>
      </c>
      <c r="D17" s="10" t="s">
        <v>42</v>
      </c>
      <c r="E17" s="10" t="s">
        <v>69</v>
      </c>
      <c r="F17" s="10" t="s">
        <v>39</v>
      </c>
      <c r="G17" s="15">
        <v>3</v>
      </c>
      <c r="H17" s="11">
        <v>2799.1553999999996</v>
      </c>
      <c r="I17" s="12">
        <v>20</v>
      </c>
      <c r="J17" s="11">
        <v>6717.783699999999</v>
      </c>
      <c r="K17" s="11">
        <v>2528.5135999999998</v>
      </c>
      <c r="L17" s="10" t="s">
        <v>23</v>
      </c>
      <c r="M17" s="5">
        <f t="shared" si="5"/>
        <v>2024</v>
      </c>
      <c r="N17" s="5">
        <f t="shared" si="0"/>
        <v>7</v>
      </c>
      <c r="O17" s="21">
        <f t="shared" si="1"/>
        <v>45474</v>
      </c>
      <c r="P17" s="13">
        <f t="shared" si="2"/>
        <v>0.37639104099168896</v>
      </c>
      <c r="Q17" s="5">
        <f t="shared" si="3"/>
        <v>202407</v>
      </c>
      <c r="R17" s="21">
        <f t="shared" si="4"/>
        <v>45474</v>
      </c>
    </row>
    <row r="18" spans="1:18" x14ac:dyDescent="0.25">
      <c r="A18" s="5" t="s">
        <v>70</v>
      </c>
      <c r="B18" s="14">
        <v>45722</v>
      </c>
      <c r="C18" s="5" t="s">
        <v>71</v>
      </c>
      <c r="D18" s="10" t="s">
        <v>37</v>
      </c>
      <c r="E18" s="10" t="s">
        <v>58</v>
      </c>
      <c r="F18" s="10" t="s">
        <v>49</v>
      </c>
      <c r="G18" s="15">
        <v>3</v>
      </c>
      <c r="H18" s="11">
        <v>5990.0789999999997</v>
      </c>
      <c r="I18" s="12">
        <v>15</v>
      </c>
      <c r="J18" s="11">
        <v>15274.228299999999</v>
      </c>
      <c r="K18" s="11">
        <v>5695.7796999999991</v>
      </c>
      <c r="L18" s="10" t="s">
        <v>23</v>
      </c>
      <c r="M18" s="5">
        <f t="shared" si="5"/>
        <v>2025</v>
      </c>
      <c r="N18" s="5">
        <f t="shared" si="0"/>
        <v>3</v>
      </c>
      <c r="O18" s="21">
        <f t="shared" si="1"/>
        <v>45717</v>
      </c>
      <c r="P18" s="13">
        <f t="shared" si="2"/>
        <v>0.37290130723003528</v>
      </c>
      <c r="Q18" s="5">
        <f t="shared" si="3"/>
        <v>202503</v>
      </c>
      <c r="R18" s="21">
        <f t="shared" si="4"/>
        <v>45717</v>
      </c>
    </row>
    <row r="19" spans="1:18" x14ac:dyDescent="0.25">
      <c r="A19" s="5" t="s">
        <v>72</v>
      </c>
      <c r="B19" s="14">
        <v>45603</v>
      </c>
      <c r="C19" s="5" t="s">
        <v>73</v>
      </c>
      <c r="D19" s="10" t="s">
        <v>26</v>
      </c>
      <c r="E19" s="10" t="s">
        <v>74</v>
      </c>
      <c r="F19" s="10" t="s">
        <v>75</v>
      </c>
      <c r="G19" s="15">
        <v>1</v>
      </c>
      <c r="H19" s="11">
        <v>4705.9498999999996</v>
      </c>
      <c r="I19" s="12">
        <v>25</v>
      </c>
      <c r="J19" s="11">
        <v>3529.6989999999996</v>
      </c>
      <c r="K19" s="11">
        <v>1091.0838999999999</v>
      </c>
      <c r="L19" s="10" t="s">
        <v>23</v>
      </c>
      <c r="M19" s="5">
        <f t="shared" si="5"/>
        <v>2024</v>
      </c>
      <c r="N19" s="5">
        <f t="shared" si="0"/>
        <v>11</v>
      </c>
      <c r="O19" s="21">
        <f t="shared" si="1"/>
        <v>45597</v>
      </c>
      <c r="P19" s="13">
        <f t="shared" si="2"/>
        <v>0.30911528150134049</v>
      </c>
      <c r="Q19" s="5">
        <f t="shared" si="3"/>
        <v>202411</v>
      </c>
      <c r="R19" s="21">
        <f t="shared" si="4"/>
        <v>45597</v>
      </c>
    </row>
    <row r="20" spans="1:18" x14ac:dyDescent="0.25">
      <c r="A20" s="5" t="s">
        <v>76</v>
      </c>
      <c r="B20" s="14">
        <v>45410</v>
      </c>
      <c r="C20" s="5" t="s">
        <v>77</v>
      </c>
      <c r="D20" s="10" t="s">
        <v>37</v>
      </c>
      <c r="E20" s="10" t="s">
        <v>61</v>
      </c>
      <c r="F20" s="10" t="s">
        <v>39</v>
      </c>
      <c r="G20" s="15">
        <v>3</v>
      </c>
      <c r="H20" s="11">
        <v>2452.8096</v>
      </c>
      <c r="I20" s="12">
        <v>5</v>
      </c>
      <c r="J20" s="11">
        <v>6990.3181000000004</v>
      </c>
      <c r="K20" s="11">
        <v>2759.4107999999997</v>
      </c>
      <c r="L20" s="10" t="s">
        <v>23</v>
      </c>
      <c r="M20" s="5">
        <f t="shared" si="5"/>
        <v>2024</v>
      </c>
      <c r="N20" s="5">
        <f t="shared" si="0"/>
        <v>4</v>
      </c>
      <c r="O20" s="21">
        <f t="shared" si="1"/>
        <v>45383</v>
      </c>
      <c r="P20" s="13">
        <f t="shared" si="2"/>
        <v>0.39474752944361707</v>
      </c>
      <c r="Q20" s="5">
        <f t="shared" si="3"/>
        <v>202404</v>
      </c>
      <c r="R20" s="21">
        <f t="shared" si="4"/>
        <v>45383</v>
      </c>
    </row>
    <row r="21" spans="1:18" x14ac:dyDescent="0.25">
      <c r="A21" s="5" t="s">
        <v>78</v>
      </c>
      <c r="B21" s="14">
        <v>45733</v>
      </c>
      <c r="C21" s="5" t="s">
        <v>79</v>
      </c>
      <c r="D21" s="10" t="s">
        <v>20</v>
      </c>
      <c r="E21" s="10" t="s">
        <v>80</v>
      </c>
      <c r="F21" s="10" t="s">
        <v>16</v>
      </c>
      <c r="G21" s="15">
        <v>3</v>
      </c>
      <c r="H21" s="11">
        <v>13797.054</v>
      </c>
      <c r="I21" s="12">
        <v>15</v>
      </c>
      <c r="J21" s="11">
        <v>35182.487699999998</v>
      </c>
      <c r="K21" s="11">
        <v>3525.9137999999998</v>
      </c>
      <c r="L21" s="10" t="s">
        <v>17</v>
      </c>
      <c r="M21" s="5">
        <f t="shared" si="5"/>
        <v>2025</v>
      </c>
      <c r="N21" s="5">
        <f t="shared" si="0"/>
        <v>3</v>
      </c>
      <c r="O21" s="21">
        <f t="shared" si="1"/>
        <v>45717</v>
      </c>
      <c r="P21" s="13">
        <f t="shared" si="2"/>
        <v>0.10021786492374728</v>
      </c>
      <c r="Q21" s="5">
        <f t="shared" si="3"/>
        <v>202503</v>
      </c>
      <c r="R21" s="21">
        <f t="shared" si="4"/>
        <v>45717</v>
      </c>
    </row>
    <row r="22" spans="1:18" x14ac:dyDescent="0.25">
      <c r="A22" s="5" t="s">
        <v>81</v>
      </c>
      <c r="B22" s="14">
        <v>45358</v>
      </c>
      <c r="C22" s="5" t="s">
        <v>82</v>
      </c>
      <c r="D22" s="10" t="s">
        <v>26</v>
      </c>
      <c r="E22" s="10" t="s">
        <v>83</v>
      </c>
      <c r="F22" s="10" t="s">
        <v>22</v>
      </c>
      <c r="G22" s="15">
        <v>3</v>
      </c>
      <c r="H22" s="11">
        <v>2473.6282000000001</v>
      </c>
      <c r="I22" s="12">
        <v>15</v>
      </c>
      <c r="J22" s="11">
        <v>6308.0357999999997</v>
      </c>
      <c r="K22" s="11">
        <v>2898.5168999999996</v>
      </c>
      <c r="L22" s="10" t="s">
        <v>17</v>
      </c>
      <c r="M22" s="5">
        <f t="shared" si="5"/>
        <v>2024</v>
      </c>
      <c r="N22" s="5">
        <f t="shared" si="0"/>
        <v>3</v>
      </c>
      <c r="O22" s="21">
        <f t="shared" si="1"/>
        <v>45352</v>
      </c>
      <c r="P22" s="13">
        <f t="shared" si="2"/>
        <v>0.45949594959495949</v>
      </c>
      <c r="Q22" s="5">
        <f t="shared" si="3"/>
        <v>202403</v>
      </c>
      <c r="R22" s="21">
        <f t="shared" si="4"/>
        <v>45352</v>
      </c>
    </row>
    <row r="23" spans="1:18" x14ac:dyDescent="0.25">
      <c r="A23" s="5" t="s">
        <v>84</v>
      </c>
      <c r="B23" s="14">
        <v>45726</v>
      </c>
      <c r="C23" s="5" t="s">
        <v>85</v>
      </c>
      <c r="D23" s="10" t="s">
        <v>37</v>
      </c>
      <c r="E23" s="10" t="s">
        <v>74</v>
      </c>
      <c r="F23" s="10" t="s">
        <v>75</v>
      </c>
      <c r="G23" s="15">
        <v>1</v>
      </c>
      <c r="H23" s="11">
        <v>1889.7610999999997</v>
      </c>
      <c r="I23" s="12">
        <v>0</v>
      </c>
      <c r="J23" s="11">
        <v>1889.7610999999997</v>
      </c>
      <c r="K23" s="11">
        <v>591.4375</v>
      </c>
      <c r="L23" s="10" t="s">
        <v>34</v>
      </c>
      <c r="M23" s="5">
        <f t="shared" si="5"/>
        <v>2025</v>
      </c>
      <c r="N23" s="5">
        <f t="shared" si="0"/>
        <v>3</v>
      </c>
      <c r="O23" s="21">
        <f t="shared" si="1"/>
        <v>45717</v>
      </c>
      <c r="P23" s="13">
        <f t="shared" si="2"/>
        <v>0.31296945418127198</v>
      </c>
      <c r="Q23" s="5">
        <f t="shared" si="3"/>
        <v>202503</v>
      </c>
      <c r="R23" s="21">
        <f t="shared" si="4"/>
        <v>45717</v>
      </c>
    </row>
    <row r="24" spans="1:18" x14ac:dyDescent="0.25">
      <c r="A24" s="5" t="s">
        <v>86</v>
      </c>
      <c r="B24" s="14">
        <v>45583</v>
      </c>
      <c r="C24" s="5" t="s">
        <v>87</v>
      </c>
      <c r="D24" s="10" t="s">
        <v>37</v>
      </c>
      <c r="E24" s="10" t="s">
        <v>88</v>
      </c>
      <c r="F24" s="10" t="s">
        <v>22</v>
      </c>
      <c r="G24" s="15">
        <v>2</v>
      </c>
      <c r="H24" s="11">
        <v>3073.5823999999998</v>
      </c>
      <c r="I24" s="12">
        <v>5</v>
      </c>
      <c r="J24" s="11">
        <v>5839.6172999999999</v>
      </c>
      <c r="K24" s="11">
        <v>3387.7539999999995</v>
      </c>
      <c r="L24" s="10" t="s">
        <v>17</v>
      </c>
      <c r="M24" s="5">
        <f t="shared" si="5"/>
        <v>2024</v>
      </c>
      <c r="N24" s="5">
        <f t="shared" si="0"/>
        <v>10</v>
      </c>
      <c r="O24" s="21">
        <f t="shared" si="1"/>
        <v>45566</v>
      </c>
      <c r="P24" s="13">
        <f t="shared" si="2"/>
        <v>0.58013287959812021</v>
      </c>
      <c r="Q24" s="5">
        <f t="shared" si="3"/>
        <v>202410</v>
      </c>
      <c r="R24" s="21">
        <f t="shared" si="4"/>
        <v>45566</v>
      </c>
    </row>
    <row r="25" spans="1:18" x14ac:dyDescent="0.25">
      <c r="A25" s="5" t="s">
        <v>89</v>
      </c>
      <c r="B25" s="14">
        <v>45849</v>
      </c>
      <c r="C25" s="5" t="s">
        <v>90</v>
      </c>
      <c r="D25" s="10" t="s">
        <v>14</v>
      </c>
      <c r="E25" s="10" t="s">
        <v>91</v>
      </c>
      <c r="F25" s="10" t="s">
        <v>49</v>
      </c>
      <c r="G25" s="15">
        <v>3</v>
      </c>
      <c r="H25" s="11">
        <v>4700.2721000000001</v>
      </c>
      <c r="I25" s="12">
        <v>0</v>
      </c>
      <c r="J25" s="11">
        <v>14100.816299999999</v>
      </c>
      <c r="K25" s="11">
        <v>6995.0495999999994</v>
      </c>
      <c r="L25" s="10" t="s">
        <v>17</v>
      </c>
      <c r="M25" s="5">
        <f t="shared" si="5"/>
        <v>2025</v>
      </c>
      <c r="N25" s="5">
        <f t="shared" si="0"/>
        <v>7</v>
      </c>
      <c r="O25" s="21">
        <f t="shared" si="1"/>
        <v>45839</v>
      </c>
      <c r="P25" s="13">
        <f t="shared" si="2"/>
        <v>0.49607408898731631</v>
      </c>
      <c r="Q25" s="5">
        <f t="shared" si="3"/>
        <v>202507</v>
      </c>
      <c r="R25" s="21">
        <f t="shared" si="4"/>
        <v>45839</v>
      </c>
    </row>
    <row r="26" spans="1:18" x14ac:dyDescent="0.25">
      <c r="A26" s="5" t="s">
        <v>92</v>
      </c>
      <c r="B26" s="14">
        <v>45944</v>
      </c>
      <c r="C26" s="5" t="s">
        <v>93</v>
      </c>
      <c r="D26" s="10" t="s">
        <v>37</v>
      </c>
      <c r="E26" s="10" t="s">
        <v>94</v>
      </c>
      <c r="F26" s="10" t="s">
        <v>75</v>
      </c>
      <c r="G26" s="15">
        <v>1</v>
      </c>
      <c r="H26" s="11">
        <v>4987.0010000000002</v>
      </c>
      <c r="I26" s="12">
        <v>10</v>
      </c>
      <c r="J26" s="11">
        <v>4488.3009000000002</v>
      </c>
      <c r="K26" s="11">
        <v>727.7047</v>
      </c>
      <c r="L26" s="10" t="s">
        <v>23</v>
      </c>
      <c r="M26" s="5">
        <f t="shared" si="5"/>
        <v>2025</v>
      </c>
      <c r="N26" s="5">
        <f t="shared" si="0"/>
        <v>10</v>
      </c>
      <c r="O26" s="21">
        <f t="shared" si="1"/>
        <v>45931</v>
      </c>
      <c r="P26" s="13">
        <f t="shared" si="2"/>
        <v>0.16213367067257009</v>
      </c>
      <c r="Q26" s="5">
        <f t="shared" si="3"/>
        <v>202510</v>
      </c>
      <c r="R26" s="21">
        <f t="shared" si="4"/>
        <v>45931</v>
      </c>
    </row>
    <row r="27" spans="1:18" x14ac:dyDescent="0.25">
      <c r="A27" s="5" t="s">
        <v>95</v>
      </c>
      <c r="B27" s="14">
        <v>45423</v>
      </c>
      <c r="C27" s="5" t="s">
        <v>96</v>
      </c>
      <c r="D27" s="10" t="s">
        <v>14</v>
      </c>
      <c r="E27" s="10" t="s">
        <v>83</v>
      </c>
      <c r="F27" s="10" t="s">
        <v>22</v>
      </c>
      <c r="G27" s="15">
        <v>2</v>
      </c>
      <c r="H27" s="11">
        <v>2752.7866999999997</v>
      </c>
      <c r="I27" s="12">
        <v>10</v>
      </c>
      <c r="J27" s="11">
        <v>4954.8267999999998</v>
      </c>
      <c r="K27" s="11">
        <v>2224.7512999999999</v>
      </c>
      <c r="L27" s="10" t="s">
        <v>17</v>
      </c>
      <c r="M27" s="5">
        <f t="shared" si="5"/>
        <v>2024</v>
      </c>
      <c r="N27" s="5">
        <f t="shared" si="0"/>
        <v>5</v>
      </c>
      <c r="O27" s="21">
        <f t="shared" si="1"/>
        <v>45413</v>
      </c>
      <c r="P27" s="13">
        <f t="shared" si="2"/>
        <v>0.44900687547746371</v>
      </c>
      <c r="Q27" s="5">
        <f t="shared" si="3"/>
        <v>202405</v>
      </c>
      <c r="R27" s="21">
        <f t="shared" si="4"/>
        <v>45413</v>
      </c>
    </row>
    <row r="28" spans="1:18" x14ac:dyDescent="0.25">
      <c r="A28" s="5" t="s">
        <v>97</v>
      </c>
      <c r="B28" s="14">
        <v>45664</v>
      </c>
      <c r="C28" s="5" t="s">
        <v>98</v>
      </c>
      <c r="D28" s="10" t="s">
        <v>14</v>
      </c>
      <c r="E28" s="10" t="s">
        <v>21</v>
      </c>
      <c r="F28" s="10" t="s">
        <v>22</v>
      </c>
      <c r="G28" s="15">
        <v>1</v>
      </c>
      <c r="H28" s="11">
        <v>4441.9321999999993</v>
      </c>
      <c r="I28" s="12">
        <v>25</v>
      </c>
      <c r="J28" s="11">
        <v>3331.9222999999997</v>
      </c>
      <c r="K28" s="11">
        <v>1884.0833</v>
      </c>
      <c r="L28" s="10" t="s">
        <v>23</v>
      </c>
      <c r="M28" s="5">
        <f t="shared" si="5"/>
        <v>2025</v>
      </c>
      <c r="N28" s="5">
        <f t="shared" si="0"/>
        <v>1</v>
      </c>
      <c r="O28" s="21">
        <f t="shared" si="1"/>
        <v>45658</v>
      </c>
      <c r="P28" s="13">
        <f t="shared" si="2"/>
        <v>0.56546435671684181</v>
      </c>
      <c r="Q28" s="5">
        <f t="shared" si="3"/>
        <v>202501</v>
      </c>
      <c r="R28" s="21">
        <f t="shared" si="4"/>
        <v>45658</v>
      </c>
    </row>
    <row r="29" spans="1:18" x14ac:dyDescent="0.25">
      <c r="A29" s="5" t="s">
        <v>99</v>
      </c>
      <c r="B29" s="14">
        <v>46021</v>
      </c>
      <c r="C29" s="5" t="s">
        <v>100</v>
      </c>
      <c r="D29" s="10" t="s">
        <v>42</v>
      </c>
      <c r="E29" s="10" t="s">
        <v>61</v>
      </c>
      <c r="F29" s="10" t="s">
        <v>39</v>
      </c>
      <c r="G29" s="15">
        <v>1</v>
      </c>
      <c r="H29" s="11">
        <v>5639.0016999999998</v>
      </c>
      <c r="I29" s="12">
        <v>20</v>
      </c>
      <c r="J29" s="11">
        <v>4511.0120999999999</v>
      </c>
      <c r="K29" s="11">
        <v>1482.8520999999998</v>
      </c>
      <c r="L29" s="10" t="s">
        <v>23</v>
      </c>
      <c r="M29" s="5">
        <f t="shared" si="5"/>
        <v>2025</v>
      </c>
      <c r="N29" s="5">
        <f t="shared" si="0"/>
        <v>12</v>
      </c>
      <c r="O29" s="21">
        <f t="shared" si="1"/>
        <v>45992</v>
      </c>
      <c r="P29" s="13">
        <f t="shared" si="2"/>
        <v>0.32871827144954896</v>
      </c>
      <c r="Q29" s="5">
        <f t="shared" si="3"/>
        <v>202512</v>
      </c>
      <c r="R29" s="21">
        <f t="shared" si="4"/>
        <v>45992</v>
      </c>
    </row>
    <row r="30" spans="1:18" x14ac:dyDescent="0.25">
      <c r="A30" s="5" t="s">
        <v>101</v>
      </c>
      <c r="B30" s="14">
        <v>45620</v>
      </c>
      <c r="C30" s="5" t="s">
        <v>102</v>
      </c>
      <c r="D30" s="10" t="s">
        <v>37</v>
      </c>
      <c r="E30" s="10" t="s">
        <v>48</v>
      </c>
      <c r="F30" s="10" t="s">
        <v>49</v>
      </c>
      <c r="G30" s="15">
        <v>1</v>
      </c>
      <c r="H30" s="11">
        <v>2980.8449999999998</v>
      </c>
      <c r="I30" s="12">
        <v>0</v>
      </c>
      <c r="J30" s="11">
        <v>2980.8449999999998</v>
      </c>
      <c r="K30" s="11">
        <v>921.69619999999998</v>
      </c>
      <c r="L30" s="10" t="s">
        <v>23</v>
      </c>
      <c r="M30" s="5">
        <f t="shared" si="5"/>
        <v>2024</v>
      </c>
      <c r="N30" s="5">
        <f t="shared" si="0"/>
        <v>11</v>
      </c>
      <c r="O30" s="21">
        <f t="shared" si="1"/>
        <v>45597</v>
      </c>
      <c r="P30" s="13">
        <f t="shared" si="2"/>
        <v>0.30920634920634921</v>
      </c>
      <c r="Q30" s="5">
        <f t="shared" si="3"/>
        <v>202411</v>
      </c>
      <c r="R30" s="21">
        <f t="shared" si="4"/>
        <v>45597</v>
      </c>
    </row>
    <row r="31" spans="1:18" x14ac:dyDescent="0.25">
      <c r="A31" s="5" t="s">
        <v>103</v>
      </c>
      <c r="B31" s="14">
        <v>45551</v>
      </c>
      <c r="C31" s="5" t="s">
        <v>104</v>
      </c>
      <c r="D31" s="10" t="s">
        <v>14</v>
      </c>
      <c r="E31" s="10" t="s">
        <v>105</v>
      </c>
      <c r="F31" s="10" t="s">
        <v>39</v>
      </c>
      <c r="G31" s="15">
        <v>1</v>
      </c>
      <c r="H31" s="11">
        <v>4905.6192000000001</v>
      </c>
      <c r="I31" s="12">
        <v>0</v>
      </c>
      <c r="J31" s="11">
        <v>4905.6192000000001</v>
      </c>
      <c r="K31" s="11">
        <v>1490.4224999999999</v>
      </c>
      <c r="L31" s="10" t="s">
        <v>17</v>
      </c>
      <c r="M31" s="5">
        <f t="shared" si="5"/>
        <v>2024</v>
      </c>
      <c r="N31" s="5">
        <f t="shared" si="0"/>
        <v>9</v>
      </c>
      <c r="O31" s="21">
        <f t="shared" si="1"/>
        <v>45536</v>
      </c>
      <c r="P31" s="13">
        <f t="shared" si="2"/>
        <v>0.30381944444444442</v>
      </c>
      <c r="Q31" s="5">
        <f t="shared" si="3"/>
        <v>202409</v>
      </c>
      <c r="R31" s="21">
        <f t="shared" si="4"/>
        <v>45536</v>
      </c>
    </row>
    <row r="32" spans="1:18" x14ac:dyDescent="0.25">
      <c r="A32" s="5" t="s">
        <v>106</v>
      </c>
      <c r="B32" s="14">
        <v>45638</v>
      </c>
      <c r="C32" s="5" t="s">
        <v>107</v>
      </c>
      <c r="D32" s="10" t="s">
        <v>26</v>
      </c>
      <c r="E32" s="10" t="s">
        <v>108</v>
      </c>
      <c r="F32" s="10" t="s">
        <v>75</v>
      </c>
      <c r="G32" s="15">
        <v>2</v>
      </c>
      <c r="H32" s="11">
        <v>4816.6669999999995</v>
      </c>
      <c r="I32" s="12">
        <v>0</v>
      </c>
      <c r="J32" s="11">
        <v>9633.3339999999989</v>
      </c>
      <c r="K32" s="11">
        <v>2199.2012</v>
      </c>
      <c r="L32" s="10" t="s">
        <v>23</v>
      </c>
      <c r="M32" s="5">
        <f t="shared" si="5"/>
        <v>2024</v>
      </c>
      <c r="N32" s="5">
        <f t="shared" si="0"/>
        <v>12</v>
      </c>
      <c r="O32" s="21">
        <f t="shared" si="1"/>
        <v>45627</v>
      </c>
      <c r="P32" s="13">
        <f t="shared" si="2"/>
        <v>0.22829076620825151</v>
      </c>
      <c r="Q32" s="5">
        <f t="shared" si="3"/>
        <v>202412</v>
      </c>
      <c r="R32" s="21">
        <f t="shared" si="4"/>
        <v>45627</v>
      </c>
    </row>
    <row r="33" spans="1:18" x14ac:dyDescent="0.25">
      <c r="A33" s="5" t="s">
        <v>109</v>
      </c>
      <c r="B33" s="14">
        <v>45720</v>
      </c>
      <c r="C33" s="5" t="s">
        <v>110</v>
      </c>
      <c r="D33" s="10" t="s">
        <v>20</v>
      </c>
      <c r="E33" s="10" t="s">
        <v>111</v>
      </c>
      <c r="F33" s="10" t="s">
        <v>49</v>
      </c>
      <c r="G33" s="15">
        <v>3</v>
      </c>
      <c r="H33" s="11">
        <v>7076.4313999999995</v>
      </c>
      <c r="I33" s="12">
        <v>25</v>
      </c>
      <c r="J33" s="11">
        <v>15922.443799999999</v>
      </c>
      <c r="K33" s="11">
        <v>6990.3181000000004</v>
      </c>
      <c r="L33" s="10" t="s">
        <v>23</v>
      </c>
      <c r="M33" s="5">
        <f t="shared" si="5"/>
        <v>2025</v>
      </c>
      <c r="N33" s="5">
        <f t="shared" si="0"/>
        <v>3</v>
      </c>
      <c r="O33" s="21">
        <f t="shared" si="1"/>
        <v>45717</v>
      </c>
      <c r="P33" s="13">
        <f t="shared" si="2"/>
        <v>0.43902294068703202</v>
      </c>
      <c r="Q33" s="5">
        <f t="shared" si="3"/>
        <v>202503</v>
      </c>
      <c r="R33" s="21">
        <f t="shared" si="4"/>
        <v>45717</v>
      </c>
    </row>
    <row r="34" spans="1:18" x14ac:dyDescent="0.25">
      <c r="A34" s="5" t="s">
        <v>112</v>
      </c>
      <c r="B34" s="14">
        <v>45585</v>
      </c>
      <c r="C34" s="5" t="s">
        <v>113</v>
      </c>
      <c r="D34" s="10" t="s">
        <v>20</v>
      </c>
      <c r="E34" s="10" t="s">
        <v>94</v>
      </c>
      <c r="F34" s="10" t="s">
        <v>75</v>
      </c>
      <c r="G34" s="15">
        <v>2</v>
      </c>
      <c r="H34" s="11">
        <v>1515.0263</v>
      </c>
      <c r="I34" s="12">
        <v>0</v>
      </c>
      <c r="J34" s="11">
        <v>3030.0526</v>
      </c>
      <c r="K34" s="11">
        <v>484.50559999999996</v>
      </c>
      <c r="L34" s="10" t="s">
        <v>23</v>
      </c>
      <c r="M34" s="5">
        <f t="shared" si="5"/>
        <v>2024</v>
      </c>
      <c r="N34" s="5">
        <f t="shared" si="0"/>
        <v>10</v>
      </c>
      <c r="O34" s="21">
        <f t="shared" si="1"/>
        <v>45566</v>
      </c>
      <c r="P34" s="13">
        <f t="shared" si="2"/>
        <v>0.15990006246096189</v>
      </c>
      <c r="Q34" s="5">
        <f t="shared" si="3"/>
        <v>202410</v>
      </c>
      <c r="R34" s="21">
        <f t="shared" si="4"/>
        <v>45566</v>
      </c>
    </row>
    <row r="35" spans="1:18" x14ac:dyDescent="0.25">
      <c r="A35" s="5" t="s">
        <v>114</v>
      </c>
      <c r="B35" s="14">
        <v>45640</v>
      </c>
      <c r="C35" s="5" t="s">
        <v>115</v>
      </c>
      <c r="D35" s="10" t="s">
        <v>37</v>
      </c>
      <c r="E35" s="10" t="s">
        <v>64</v>
      </c>
      <c r="F35" s="10" t="s">
        <v>16</v>
      </c>
      <c r="G35" s="15">
        <v>3</v>
      </c>
      <c r="H35" s="11">
        <v>12421.133799999998</v>
      </c>
      <c r="I35" s="12">
        <v>0</v>
      </c>
      <c r="J35" s="11">
        <v>37263.401399999995</v>
      </c>
      <c r="K35" s="11">
        <v>5409.0507999999991</v>
      </c>
      <c r="L35" s="10" t="s">
        <v>34</v>
      </c>
      <c r="M35" s="5">
        <f t="shared" si="5"/>
        <v>2024</v>
      </c>
      <c r="N35" s="5">
        <f t="shared" si="0"/>
        <v>12</v>
      </c>
      <c r="O35" s="21">
        <f t="shared" si="1"/>
        <v>45627</v>
      </c>
      <c r="P35" s="13">
        <f t="shared" si="2"/>
        <v>0.14515719437249225</v>
      </c>
      <c r="Q35" s="5">
        <f t="shared" si="3"/>
        <v>202412</v>
      </c>
      <c r="R35" s="21">
        <f t="shared" si="4"/>
        <v>45627</v>
      </c>
    </row>
    <row r="36" spans="1:18" x14ac:dyDescent="0.25">
      <c r="A36" s="5" t="s">
        <v>116</v>
      </c>
      <c r="B36" s="14">
        <v>45511</v>
      </c>
      <c r="C36" s="5" t="s">
        <v>117</v>
      </c>
      <c r="D36" s="10" t="s">
        <v>42</v>
      </c>
      <c r="E36" s="10" t="s">
        <v>118</v>
      </c>
      <c r="F36" s="10" t="s">
        <v>49</v>
      </c>
      <c r="G36" s="15">
        <v>1</v>
      </c>
      <c r="H36" s="11">
        <v>1908.6871000000001</v>
      </c>
      <c r="I36" s="12">
        <v>0</v>
      </c>
      <c r="J36" s="11">
        <v>1908.6871000000001</v>
      </c>
      <c r="K36" s="11">
        <v>992.66869999999994</v>
      </c>
      <c r="L36" s="10" t="s">
        <v>17</v>
      </c>
      <c r="M36" s="5">
        <f t="shared" si="5"/>
        <v>2024</v>
      </c>
      <c r="N36" s="5">
        <f t="shared" si="0"/>
        <v>8</v>
      </c>
      <c r="O36" s="21">
        <f t="shared" si="1"/>
        <v>45505</v>
      </c>
      <c r="P36" s="13">
        <f t="shared" si="2"/>
        <v>0.52007932573128401</v>
      </c>
      <c r="Q36" s="5">
        <f t="shared" si="3"/>
        <v>202408</v>
      </c>
      <c r="R36" s="21">
        <f t="shared" si="4"/>
        <v>45505</v>
      </c>
    </row>
    <row r="37" spans="1:18" x14ac:dyDescent="0.25">
      <c r="A37" s="5" t="s">
        <v>119</v>
      </c>
      <c r="B37" s="14">
        <v>45625</v>
      </c>
      <c r="C37" s="5" t="s">
        <v>120</v>
      </c>
      <c r="D37" s="10" t="s">
        <v>20</v>
      </c>
      <c r="E37" s="10" t="s">
        <v>15</v>
      </c>
      <c r="F37" s="10" t="s">
        <v>16</v>
      </c>
      <c r="G37" s="15">
        <v>2</v>
      </c>
      <c r="H37" s="11">
        <v>4235.6387999999997</v>
      </c>
      <c r="I37" s="12">
        <v>20</v>
      </c>
      <c r="J37" s="11">
        <v>6777.4005999999999</v>
      </c>
      <c r="K37" s="11">
        <v>888.57569999999998</v>
      </c>
      <c r="L37" s="10" t="s">
        <v>34</v>
      </c>
      <c r="M37" s="5">
        <f t="shared" si="5"/>
        <v>2024</v>
      </c>
      <c r="N37" s="5">
        <f t="shared" si="0"/>
        <v>11</v>
      </c>
      <c r="O37" s="21">
        <f t="shared" si="1"/>
        <v>45597</v>
      </c>
      <c r="P37" s="13">
        <f t="shared" si="2"/>
        <v>0.13110862887461602</v>
      </c>
      <c r="Q37" s="5">
        <f t="shared" si="3"/>
        <v>202411</v>
      </c>
      <c r="R37" s="21">
        <f t="shared" si="4"/>
        <v>45597</v>
      </c>
    </row>
    <row r="38" spans="1:18" x14ac:dyDescent="0.25">
      <c r="A38" s="5" t="s">
        <v>121</v>
      </c>
      <c r="B38" s="14">
        <v>45539</v>
      </c>
      <c r="C38" s="5" t="s">
        <v>122</v>
      </c>
      <c r="D38" s="10" t="s">
        <v>42</v>
      </c>
      <c r="E38" s="10" t="s">
        <v>33</v>
      </c>
      <c r="F38" s="10" t="s">
        <v>16</v>
      </c>
      <c r="G38" s="15">
        <v>3</v>
      </c>
      <c r="H38" s="11">
        <v>9847.1977999999999</v>
      </c>
      <c r="I38" s="12">
        <v>5</v>
      </c>
      <c r="J38" s="11">
        <v>28064.419099999999</v>
      </c>
      <c r="K38" s="11">
        <v>3401.9485</v>
      </c>
      <c r="L38" s="10" t="s">
        <v>17</v>
      </c>
      <c r="M38" s="5">
        <f t="shared" si="5"/>
        <v>2024</v>
      </c>
      <c r="N38" s="5">
        <f t="shared" si="0"/>
        <v>9</v>
      </c>
      <c r="O38" s="21">
        <f t="shared" si="1"/>
        <v>45536</v>
      </c>
      <c r="P38" s="13">
        <f t="shared" si="2"/>
        <v>0.12121927369592339</v>
      </c>
      <c r="Q38" s="5">
        <f t="shared" si="3"/>
        <v>202409</v>
      </c>
      <c r="R38" s="21">
        <f t="shared" si="4"/>
        <v>45536</v>
      </c>
    </row>
    <row r="39" spans="1:18" x14ac:dyDescent="0.25">
      <c r="A39" s="5" t="s">
        <v>123</v>
      </c>
      <c r="B39" s="14">
        <v>45607</v>
      </c>
      <c r="C39" s="5" t="s">
        <v>124</v>
      </c>
      <c r="D39" s="10" t="s">
        <v>26</v>
      </c>
      <c r="E39" s="10" t="s">
        <v>69</v>
      </c>
      <c r="F39" s="10" t="s">
        <v>39</v>
      </c>
      <c r="G39" s="15">
        <v>1</v>
      </c>
      <c r="H39" s="11">
        <v>6686.5557999999992</v>
      </c>
      <c r="I39" s="12">
        <v>0</v>
      </c>
      <c r="J39" s="11">
        <v>6686.5557999999992</v>
      </c>
      <c r="K39" s="11">
        <v>2642.0695999999998</v>
      </c>
      <c r="L39" s="10" t="s">
        <v>23</v>
      </c>
      <c r="M39" s="5">
        <f t="shared" si="5"/>
        <v>2024</v>
      </c>
      <c r="N39" s="5">
        <f t="shared" si="0"/>
        <v>11</v>
      </c>
      <c r="O39" s="21">
        <f t="shared" si="1"/>
        <v>45597</v>
      </c>
      <c r="P39" s="13">
        <f t="shared" si="2"/>
        <v>0.39513161619020665</v>
      </c>
      <c r="Q39" s="5">
        <f t="shared" si="3"/>
        <v>202411</v>
      </c>
      <c r="R39" s="21">
        <f t="shared" si="4"/>
        <v>45597</v>
      </c>
    </row>
    <row r="40" spans="1:18" x14ac:dyDescent="0.25">
      <c r="A40" s="5" t="s">
        <v>125</v>
      </c>
      <c r="B40" s="14">
        <v>45938</v>
      </c>
      <c r="C40" s="5" t="s">
        <v>126</v>
      </c>
      <c r="D40" s="10" t="s">
        <v>26</v>
      </c>
      <c r="E40" s="10" t="s">
        <v>64</v>
      </c>
      <c r="F40" s="10" t="s">
        <v>16</v>
      </c>
      <c r="G40" s="15">
        <v>2</v>
      </c>
      <c r="H40" s="11">
        <v>10354.4146</v>
      </c>
      <c r="I40" s="12">
        <v>5</v>
      </c>
      <c r="J40" s="11">
        <v>19673.577000000001</v>
      </c>
      <c r="K40" s="11">
        <v>2243.6772999999998</v>
      </c>
      <c r="L40" s="10" t="s">
        <v>23</v>
      </c>
      <c r="M40" s="5">
        <f t="shared" si="5"/>
        <v>2025</v>
      </c>
      <c r="N40" s="5">
        <f t="shared" si="0"/>
        <v>10</v>
      </c>
      <c r="O40" s="21">
        <f t="shared" si="1"/>
        <v>45931</v>
      </c>
      <c r="P40" s="13">
        <f t="shared" si="2"/>
        <v>0.11404521404521403</v>
      </c>
      <c r="Q40" s="5">
        <f t="shared" si="3"/>
        <v>202510</v>
      </c>
      <c r="R40" s="21">
        <f t="shared" si="4"/>
        <v>45931</v>
      </c>
    </row>
    <row r="41" spans="1:18" x14ac:dyDescent="0.25">
      <c r="A41" s="5" t="s">
        <v>127</v>
      </c>
      <c r="B41" s="14">
        <v>45963</v>
      </c>
      <c r="C41" s="5" t="s">
        <v>128</v>
      </c>
      <c r="D41" s="10" t="s">
        <v>26</v>
      </c>
      <c r="E41" s="10" t="s">
        <v>27</v>
      </c>
      <c r="F41" s="10" t="s">
        <v>22</v>
      </c>
      <c r="G41" s="15">
        <v>2</v>
      </c>
      <c r="H41" s="11">
        <v>3098.1862000000001</v>
      </c>
      <c r="I41" s="12">
        <v>0</v>
      </c>
      <c r="J41" s="11">
        <v>6196.3724000000002</v>
      </c>
      <c r="K41" s="11">
        <v>3680.1606999999999</v>
      </c>
      <c r="L41" s="10" t="s">
        <v>23</v>
      </c>
      <c r="M41" s="5">
        <f t="shared" si="5"/>
        <v>2025</v>
      </c>
      <c r="N41" s="5">
        <f t="shared" si="0"/>
        <v>11</v>
      </c>
      <c r="O41" s="21">
        <f t="shared" si="1"/>
        <v>45962</v>
      </c>
      <c r="P41" s="13">
        <f t="shared" si="2"/>
        <v>0.5939218081857055</v>
      </c>
      <c r="Q41" s="5">
        <f t="shared" si="3"/>
        <v>202511</v>
      </c>
      <c r="R41" s="21">
        <f t="shared" si="4"/>
        <v>45962</v>
      </c>
    </row>
    <row r="42" spans="1:18" x14ac:dyDescent="0.25">
      <c r="A42" s="5" t="s">
        <v>129</v>
      </c>
      <c r="B42" s="14">
        <v>45541</v>
      </c>
      <c r="C42" s="5" t="s">
        <v>130</v>
      </c>
      <c r="D42" s="10" t="s">
        <v>14</v>
      </c>
      <c r="E42" s="10" t="s">
        <v>33</v>
      </c>
      <c r="F42" s="10" t="s">
        <v>16</v>
      </c>
      <c r="G42" s="15">
        <v>2</v>
      </c>
      <c r="H42" s="11">
        <v>6114.9906000000001</v>
      </c>
      <c r="I42" s="12">
        <v>5</v>
      </c>
      <c r="J42" s="11">
        <v>11618.671399999999</v>
      </c>
      <c r="K42" s="11">
        <v>1620.0655999999999</v>
      </c>
      <c r="L42" s="10" t="s">
        <v>23</v>
      </c>
      <c r="M42" s="5">
        <f t="shared" si="5"/>
        <v>2024</v>
      </c>
      <c r="N42" s="5">
        <f t="shared" si="0"/>
        <v>9</v>
      </c>
      <c r="O42" s="21">
        <f t="shared" si="1"/>
        <v>45536</v>
      </c>
      <c r="P42" s="13">
        <f t="shared" si="2"/>
        <v>0.13943639029157842</v>
      </c>
      <c r="Q42" s="5">
        <f t="shared" si="3"/>
        <v>202409</v>
      </c>
      <c r="R42" s="21">
        <f t="shared" si="4"/>
        <v>45536</v>
      </c>
    </row>
    <row r="43" spans="1:18" x14ac:dyDescent="0.25">
      <c r="A43" s="5" t="s">
        <v>131</v>
      </c>
      <c r="B43" s="14">
        <v>45993</v>
      </c>
      <c r="C43" s="5" t="s">
        <v>132</v>
      </c>
      <c r="D43" s="10" t="s">
        <v>14</v>
      </c>
      <c r="E43" s="10" t="s">
        <v>133</v>
      </c>
      <c r="F43" s="10" t="s">
        <v>75</v>
      </c>
      <c r="G43" s="15">
        <v>2</v>
      </c>
      <c r="H43" s="11">
        <v>1470.5501999999999</v>
      </c>
      <c r="I43" s="12">
        <v>0</v>
      </c>
      <c r="J43" s="11">
        <v>2941.1003999999998</v>
      </c>
      <c r="K43" s="11">
        <v>812.87169999999992</v>
      </c>
      <c r="L43" s="10" t="s">
        <v>34</v>
      </c>
      <c r="M43" s="5">
        <f t="shared" si="5"/>
        <v>2025</v>
      </c>
      <c r="N43" s="5">
        <f t="shared" si="0"/>
        <v>12</v>
      </c>
      <c r="O43" s="21">
        <f t="shared" si="1"/>
        <v>45992</v>
      </c>
      <c r="P43" s="13">
        <f t="shared" si="2"/>
        <v>0.27638352638352637</v>
      </c>
      <c r="Q43" s="5">
        <f t="shared" si="3"/>
        <v>202512</v>
      </c>
      <c r="R43" s="21">
        <f t="shared" si="4"/>
        <v>45992</v>
      </c>
    </row>
    <row r="44" spans="1:18" x14ac:dyDescent="0.25">
      <c r="A44" s="5" t="s">
        <v>134</v>
      </c>
      <c r="B44" s="14">
        <v>45413</v>
      </c>
      <c r="C44" s="5" t="s">
        <v>135</v>
      </c>
      <c r="D44" s="10" t="s">
        <v>26</v>
      </c>
      <c r="E44" s="10" t="s">
        <v>136</v>
      </c>
      <c r="F44" s="10" t="s">
        <v>75</v>
      </c>
      <c r="G44" s="15">
        <v>3</v>
      </c>
      <c r="H44" s="11">
        <v>3406.68</v>
      </c>
      <c r="I44" s="12">
        <v>0</v>
      </c>
      <c r="J44" s="11">
        <v>10220.039999999999</v>
      </c>
      <c r="K44" s="11">
        <v>2724.3977</v>
      </c>
      <c r="L44" s="10" t="s">
        <v>34</v>
      </c>
      <c r="M44" s="5">
        <f t="shared" si="5"/>
        <v>2024</v>
      </c>
      <c r="N44" s="5">
        <f t="shared" si="0"/>
        <v>5</v>
      </c>
      <c r="O44" s="21">
        <f t="shared" si="1"/>
        <v>45413</v>
      </c>
      <c r="P44" s="13">
        <f t="shared" si="2"/>
        <v>0.26657407407407407</v>
      </c>
      <c r="Q44" s="5">
        <f t="shared" si="3"/>
        <v>202405</v>
      </c>
      <c r="R44" s="21">
        <f t="shared" si="4"/>
        <v>45413</v>
      </c>
    </row>
    <row r="45" spans="1:18" x14ac:dyDescent="0.25">
      <c r="A45" s="5" t="s">
        <v>137</v>
      </c>
      <c r="B45" s="14">
        <v>45297</v>
      </c>
      <c r="C45" s="5" t="s">
        <v>138</v>
      </c>
      <c r="D45" s="10" t="s">
        <v>37</v>
      </c>
      <c r="E45" s="10" t="s">
        <v>108</v>
      </c>
      <c r="F45" s="10" t="s">
        <v>75</v>
      </c>
      <c r="G45" s="15">
        <v>1</v>
      </c>
      <c r="H45" s="11">
        <v>4922.6526000000003</v>
      </c>
      <c r="I45" s="12">
        <v>0</v>
      </c>
      <c r="J45" s="11">
        <v>4922.6526000000003</v>
      </c>
      <c r="K45" s="11">
        <v>1632.3674999999998</v>
      </c>
      <c r="L45" s="10" t="s">
        <v>17</v>
      </c>
      <c r="M45" s="5">
        <f t="shared" si="5"/>
        <v>2024</v>
      </c>
      <c r="N45" s="5">
        <f t="shared" si="0"/>
        <v>1</v>
      </c>
      <c r="O45" s="21">
        <f t="shared" si="1"/>
        <v>45292</v>
      </c>
      <c r="P45" s="13">
        <f t="shared" si="2"/>
        <v>0.33160322952710491</v>
      </c>
      <c r="Q45" s="5">
        <f t="shared" si="3"/>
        <v>202401</v>
      </c>
      <c r="R45" s="21">
        <f t="shared" si="4"/>
        <v>45292</v>
      </c>
    </row>
    <row r="46" spans="1:18" x14ac:dyDescent="0.25">
      <c r="A46" s="5" t="s">
        <v>139</v>
      </c>
      <c r="B46" s="14">
        <v>45628</v>
      </c>
      <c r="C46" s="5" t="s">
        <v>140</v>
      </c>
      <c r="D46" s="10" t="s">
        <v>20</v>
      </c>
      <c r="E46" s="10" t="s">
        <v>141</v>
      </c>
      <c r="F46" s="10" t="s">
        <v>16</v>
      </c>
      <c r="G46" s="15">
        <v>3</v>
      </c>
      <c r="H46" s="11">
        <v>13110.986500000001</v>
      </c>
      <c r="I46" s="12">
        <v>25</v>
      </c>
      <c r="J46" s="11">
        <v>29499.956200000001</v>
      </c>
      <c r="K46" s="11">
        <v>3952.6950999999999</v>
      </c>
      <c r="L46" s="10" t="s">
        <v>23</v>
      </c>
      <c r="M46" s="5">
        <f t="shared" si="5"/>
        <v>2024</v>
      </c>
      <c r="N46" s="5">
        <f t="shared" si="0"/>
        <v>12</v>
      </c>
      <c r="O46" s="21">
        <f t="shared" si="1"/>
        <v>45627</v>
      </c>
      <c r="P46" s="13">
        <f t="shared" si="2"/>
        <v>0.1339898633476615</v>
      </c>
      <c r="Q46" s="5">
        <f t="shared" si="3"/>
        <v>202412</v>
      </c>
      <c r="R46" s="21">
        <f t="shared" si="4"/>
        <v>45627</v>
      </c>
    </row>
    <row r="47" spans="1:18" x14ac:dyDescent="0.25">
      <c r="A47" s="5" t="s">
        <v>142</v>
      </c>
      <c r="B47" s="14">
        <v>45693</v>
      </c>
      <c r="C47" s="5" t="s">
        <v>143</v>
      </c>
      <c r="D47" s="10" t="s">
        <v>26</v>
      </c>
      <c r="E47" s="10" t="s">
        <v>38</v>
      </c>
      <c r="F47" s="10" t="s">
        <v>39</v>
      </c>
      <c r="G47" s="15">
        <v>2</v>
      </c>
      <c r="H47" s="11">
        <v>2641.1232999999997</v>
      </c>
      <c r="I47" s="12">
        <v>15</v>
      </c>
      <c r="J47" s="11">
        <v>4490.1935000000003</v>
      </c>
      <c r="K47" s="11">
        <v>956.70929999999987</v>
      </c>
      <c r="L47" s="10" t="s">
        <v>23</v>
      </c>
      <c r="M47" s="5">
        <f t="shared" si="5"/>
        <v>2025</v>
      </c>
      <c r="N47" s="5">
        <f t="shared" si="0"/>
        <v>2</v>
      </c>
      <c r="O47" s="21">
        <f t="shared" si="1"/>
        <v>45689</v>
      </c>
      <c r="P47" s="13">
        <f t="shared" si="2"/>
        <v>0.21306638566912536</v>
      </c>
      <c r="Q47" s="5">
        <f t="shared" si="3"/>
        <v>202502</v>
      </c>
      <c r="R47" s="21">
        <f t="shared" si="4"/>
        <v>45689</v>
      </c>
    </row>
    <row r="48" spans="1:18" x14ac:dyDescent="0.25">
      <c r="A48" s="5" t="s">
        <v>144</v>
      </c>
      <c r="B48" s="14">
        <v>45836</v>
      </c>
      <c r="C48" s="5" t="s">
        <v>145</v>
      </c>
      <c r="D48" s="10" t="s">
        <v>26</v>
      </c>
      <c r="E48" s="10" t="s">
        <v>43</v>
      </c>
      <c r="F48" s="10" t="s">
        <v>22</v>
      </c>
      <c r="G48" s="15">
        <v>2</v>
      </c>
      <c r="H48" s="11">
        <v>2881.4834999999998</v>
      </c>
      <c r="I48" s="12">
        <v>0</v>
      </c>
      <c r="J48" s="11">
        <v>5762.9669999999996</v>
      </c>
      <c r="K48" s="11">
        <v>3636.6308999999997</v>
      </c>
      <c r="L48" s="10" t="s">
        <v>23</v>
      </c>
      <c r="M48" s="5">
        <f t="shared" si="5"/>
        <v>2025</v>
      </c>
      <c r="N48" s="5">
        <f t="shared" si="0"/>
        <v>6</v>
      </c>
      <c r="O48" s="21">
        <f t="shared" si="1"/>
        <v>45809</v>
      </c>
      <c r="P48" s="13">
        <f t="shared" si="2"/>
        <v>0.63103448275862062</v>
      </c>
      <c r="Q48" s="5">
        <f t="shared" si="3"/>
        <v>202506</v>
      </c>
      <c r="R48" s="21">
        <f t="shared" si="4"/>
        <v>45809</v>
      </c>
    </row>
    <row r="49" spans="1:18" x14ac:dyDescent="0.25">
      <c r="A49" s="5" t="s">
        <v>146</v>
      </c>
      <c r="B49" s="14">
        <v>45658</v>
      </c>
      <c r="C49" s="5" t="s">
        <v>147</v>
      </c>
      <c r="D49" s="10" t="s">
        <v>14</v>
      </c>
      <c r="E49" s="10" t="s">
        <v>148</v>
      </c>
      <c r="F49" s="10" t="s">
        <v>16</v>
      </c>
      <c r="G49" s="15">
        <v>1</v>
      </c>
      <c r="H49" s="11">
        <v>5153.5497999999998</v>
      </c>
      <c r="I49" s="12">
        <v>10</v>
      </c>
      <c r="J49" s="11">
        <v>4637.8162999999995</v>
      </c>
      <c r="K49" s="11">
        <v>790.16049999999996</v>
      </c>
      <c r="L49" s="10" t="s">
        <v>17</v>
      </c>
      <c r="M49" s="5">
        <f t="shared" si="5"/>
        <v>2025</v>
      </c>
      <c r="N49" s="5">
        <f t="shared" si="0"/>
        <v>1</v>
      </c>
      <c r="O49" s="21">
        <f t="shared" si="1"/>
        <v>45658</v>
      </c>
      <c r="P49" s="13">
        <f t="shared" si="2"/>
        <v>0.17037339318506428</v>
      </c>
      <c r="Q49" s="5">
        <f t="shared" si="3"/>
        <v>202501</v>
      </c>
      <c r="R49" s="21">
        <f t="shared" si="4"/>
        <v>45658</v>
      </c>
    </row>
    <row r="50" spans="1:18" x14ac:dyDescent="0.25">
      <c r="A50" s="5" t="s">
        <v>149</v>
      </c>
      <c r="B50" s="14">
        <v>45906</v>
      </c>
      <c r="C50" s="5" t="s">
        <v>150</v>
      </c>
      <c r="D50" s="10" t="s">
        <v>26</v>
      </c>
      <c r="E50" s="10" t="s">
        <v>151</v>
      </c>
      <c r="F50" s="10" t="s">
        <v>39</v>
      </c>
      <c r="G50" s="15">
        <v>3</v>
      </c>
      <c r="H50" s="11">
        <v>4179.8071</v>
      </c>
      <c r="I50" s="12">
        <v>5</v>
      </c>
      <c r="J50" s="11">
        <v>11912.024399999998</v>
      </c>
      <c r="K50" s="11">
        <v>3452.1023999999998</v>
      </c>
      <c r="L50" s="10" t="s">
        <v>17</v>
      </c>
      <c r="M50" s="5">
        <f t="shared" si="5"/>
        <v>2025</v>
      </c>
      <c r="N50" s="5">
        <f t="shared" si="0"/>
        <v>9</v>
      </c>
      <c r="O50" s="21">
        <f t="shared" si="1"/>
        <v>45901</v>
      </c>
      <c r="P50" s="13">
        <f t="shared" si="2"/>
        <v>0.28979980934223071</v>
      </c>
      <c r="Q50" s="5">
        <f t="shared" si="3"/>
        <v>202509</v>
      </c>
      <c r="R50" s="21">
        <f t="shared" si="4"/>
        <v>45901</v>
      </c>
    </row>
    <row r="51" spans="1:18" x14ac:dyDescent="0.25">
      <c r="A51" s="5" t="s">
        <v>152</v>
      </c>
      <c r="B51" s="14">
        <v>45831</v>
      </c>
      <c r="C51" s="5" t="s">
        <v>153</v>
      </c>
      <c r="D51" s="10" t="s">
        <v>14</v>
      </c>
      <c r="E51" s="10" t="s">
        <v>154</v>
      </c>
      <c r="F51" s="10" t="s">
        <v>39</v>
      </c>
      <c r="G51" s="15">
        <v>4</v>
      </c>
      <c r="H51" s="11">
        <v>7073.5924999999997</v>
      </c>
      <c r="I51" s="12">
        <v>10</v>
      </c>
      <c r="J51" s="11">
        <v>25464.933000000001</v>
      </c>
      <c r="K51" s="11">
        <v>7792.7804999999989</v>
      </c>
      <c r="L51" s="10" t="s">
        <v>17</v>
      </c>
      <c r="M51" s="5">
        <f t="shared" si="5"/>
        <v>2025</v>
      </c>
      <c r="N51" s="5">
        <f t="shared" si="0"/>
        <v>6</v>
      </c>
      <c r="O51" s="21">
        <f t="shared" si="1"/>
        <v>45809</v>
      </c>
      <c r="P51" s="13">
        <f t="shared" si="2"/>
        <v>0.30602006688963207</v>
      </c>
      <c r="Q51" s="5">
        <f t="shared" si="3"/>
        <v>202506</v>
      </c>
      <c r="R51" s="21">
        <f t="shared" si="4"/>
        <v>45809</v>
      </c>
    </row>
    <row r="52" spans="1:18" x14ac:dyDescent="0.25">
      <c r="A52" s="5" t="s">
        <v>155</v>
      </c>
      <c r="B52" s="14">
        <v>45475</v>
      </c>
      <c r="C52" s="5" t="s">
        <v>156</v>
      </c>
      <c r="D52" s="10" t="s">
        <v>37</v>
      </c>
      <c r="E52" s="10" t="s">
        <v>69</v>
      </c>
      <c r="F52" s="10" t="s">
        <v>39</v>
      </c>
      <c r="G52" s="15">
        <v>1</v>
      </c>
      <c r="H52" s="11">
        <v>6805.7896000000001</v>
      </c>
      <c r="I52" s="12">
        <v>5</v>
      </c>
      <c r="J52" s="11">
        <v>6465.1215999999995</v>
      </c>
      <c r="K52" s="11">
        <v>1690.0917999999999</v>
      </c>
      <c r="L52" s="10" t="s">
        <v>23</v>
      </c>
      <c r="M52" s="5">
        <f t="shared" si="5"/>
        <v>2024</v>
      </c>
      <c r="N52" s="5">
        <f t="shared" si="0"/>
        <v>7</v>
      </c>
      <c r="O52" s="21">
        <f t="shared" si="1"/>
        <v>45474</v>
      </c>
      <c r="P52" s="13">
        <f t="shared" si="2"/>
        <v>0.26141686182669788</v>
      </c>
      <c r="Q52" s="5">
        <f t="shared" si="3"/>
        <v>202407</v>
      </c>
      <c r="R52" s="21">
        <f t="shared" si="4"/>
        <v>45474</v>
      </c>
    </row>
    <row r="53" spans="1:18" x14ac:dyDescent="0.25">
      <c r="A53" s="5" t="s">
        <v>157</v>
      </c>
      <c r="B53" s="14">
        <v>45969</v>
      </c>
      <c r="C53" s="5" t="s">
        <v>158</v>
      </c>
      <c r="D53" s="10" t="s">
        <v>26</v>
      </c>
      <c r="E53" s="10" t="s">
        <v>83</v>
      </c>
      <c r="F53" s="10" t="s">
        <v>22</v>
      </c>
      <c r="G53" s="15">
        <v>5</v>
      </c>
      <c r="H53" s="11">
        <v>3253.3794000000003</v>
      </c>
      <c r="I53" s="12">
        <v>0</v>
      </c>
      <c r="J53" s="11">
        <v>16266.896999999999</v>
      </c>
      <c r="K53" s="11">
        <v>8739.0804999999982</v>
      </c>
      <c r="L53" s="10" t="s">
        <v>17</v>
      </c>
      <c r="M53" s="5">
        <f t="shared" si="5"/>
        <v>2025</v>
      </c>
      <c r="N53" s="5">
        <f t="shared" si="0"/>
        <v>11</v>
      </c>
      <c r="O53" s="21">
        <f t="shared" si="1"/>
        <v>45962</v>
      </c>
      <c r="P53" s="13">
        <f t="shared" si="2"/>
        <v>0.5372309482257126</v>
      </c>
      <c r="Q53" s="5">
        <f t="shared" si="3"/>
        <v>202511</v>
      </c>
      <c r="R53" s="21">
        <f t="shared" si="4"/>
        <v>45962</v>
      </c>
    </row>
    <row r="54" spans="1:18" x14ac:dyDescent="0.25">
      <c r="A54" s="5" t="s">
        <v>159</v>
      </c>
      <c r="B54" s="14">
        <v>45669</v>
      </c>
      <c r="C54" s="5" t="s">
        <v>160</v>
      </c>
      <c r="D54" s="10" t="s">
        <v>14</v>
      </c>
      <c r="E54" s="10" t="s">
        <v>133</v>
      </c>
      <c r="F54" s="10" t="s">
        <v>75</v>
      </c>
      <c r="G54" s="15">
        <v>2</v>
      </c>
      <c r="H54" s="11">
        <v>5409.9970999999996</v>
      </c>
      <c r="I54" s="12">
        <v>0</v>
      </c>
      <c r="J54" s="11">
        <v>10819.994199999999</v>
      </c>
      <c r="K54" s="11">
        <v>2986.5227999999997</v>
      </c>
      <c r="L54" s="10" t="s">
        <v>23</v>
      </c>
      <c r="M54" s="5">
        <f t="shared" si="5"/>
        <v>2025</v>
      </c>
      <c r="N54" s="5">
        <f t="shared" si="0"/>
        <v>1</v>
      </c>
      <c r="O54" s="21">
        <f t="shared" si="1"/>
        <v>45658</v>
      </c>
      <c r="P54" s="13">
        <f t="shared" si="2"/>
        <v>0.2760188910267623</v>
      </c>
      <c r="Q54" s="5">
        <f t="shared" si="3"/>
        <v>202501</v>
      </c>
      <c r="R54" s="21">
        <f t="shared" si="4"/>
        <v>45658</v>
      </c>
    </row>
    <row r="55" spans="1:18" x14ac:dyDescent="0.25">
      <c r="A55" s="5" t="s">
        <v>161</v>
      </c>
      <c r="B55" s="14">
        <v>45531</v>
      </c>
      <c r="C55" s="5" t="s">
        <v>162</v>
      </c>
      <c r="D55" s="10" t="s">
        <v>42</v>
      </c>
      <c r="E55" s="10" t="s">
        <v>83</v>
      </c>
      <c r="F55" s="10" t="s">
        <v>22</v>
      </c>
      <c r="G55" s="15">
        <v>1</v>
      </c>
      <c r="H55" s="11">
        <v>2977.0598</v>
      </c>
      <c r="I55" s="12">
        <v>0</v>
      </c>
      <c r="J55" s="11">
        <v>2977.0598</v>
      </c>
      <c r="K55" s="11">
        <v>1411.8796</v>
      </c>
      <c r="L55" s="10" t="s">
        <v>23</v>
      </c>
      <c r="M55" s="5">
        <f t="shared" si="5"/>
        <v>2024</v>
      </c>
      <c r="N55" s="5">
        <f t="shared" si="0"/>
        <v>8</v>
      </c>
      <c r="O55" s="21">
        <f t="shared" si="1"/>
        <v>45505</v>
      </c>
      <c r="P55" s="13">
        <f t="shared" si="2"/>
        <v>0.47425301970756517</v>
      </c>
      <c r="Q55" s="5">
        <f t="shared" si="3"/>
        <v>202408</v>
      </c>
      <c r="R55" s="21">
        <f t="shared" si="4"/>
        <v>45505</v>
      </c>
    </row>
    <row r="56" spans="1:18" x14ac:dyDescent="0.25">
      <c r="A56" s="5" t="s">
        <v>163</v>
      </c>
      <c r="B56" s="14">
        <v>45974</v>
      </c>
      <c r="C56" s="5" t="s">
        <v>164</v>
      </c>
      <c r="D56" s="10" t="s">
        <v>20</v>
      </c>
      <c r="E56" s="10" t="s">
        <v>33</v>
      </c>
      <c r="F56" s="10" t="s">
        <v>16</v>
      </c>
      <c r="G56" s="15">
        <v>1</v>
      </c>
      <c r="H56" s="11">
        <v>12195.9144</v>
      </c>
      <c r="I56" s="12">
        <v>0</v>
      </c>
      <c r="J56" s="11">
        <v>12195.9144</v>
      </c>
      <c r="K56" s="11">
        <v>2178.3825999999999</v>
      </c>
      <c r="L56" s="10" t="s">
        <v>17</v>
      </c>
      <c r="M56" s="5">
        <f t="shared" si="5"/>
        <v>2025</v>
      </c>
      <c r="N56" s="5">
        <f t="shared" si="0"/>
        <v>11</v>
      </c>
      <c r="O56" s="21">
        <f t="shared" si="1"/>
        <v>45962</v>
      </c>
      <c r="P56" s="13">
        <f t="shared" si="2"/>
        <v>0.17861576660459341</v>
      </c>
      <c r="Q56" s="5">
        <f t="shared" si="3"/>
        <v>202511</v>
      </c>
      <c r="R56" s="21">
        <f t="shared" si="4"/>
        <v>45962</v>
      </c>
    </row>
    <row r="57" spans="1:18" x14ac:dyDescent="0.25">
      <c r="A57" s="5" t="s">
        <v>165</v>
      </c>
      <c r="B57" s="14">
        <v>45817</v>
      </c>
      <c r="C57" s="5" t="s">
        <v>166</v>
      </c>
      <c r="D57" s="10" t="s">
        <v>37</v>
      </c>
      <c r="E57" s="10" t="s">
        <v>91</v>
      </c>
      <c r="F57" s="10" t="s">
        <v>49</v>
      </c>
      <c r="G57" s="15">
        <v>2</v>
      </c>
      <c r="H57" s="11">
        <v>8402.1977000000006</v>
      </c>
      <c r="I57" s="12">
        <v>10</v>
      </c>
      <c r="J57" s="11">
        <v>15123.766599999999</v>
      </c>
      <c r="K57" s="11">
        <v>5156.3886999999995</v>
      </c>
      <c r="L57" s="10" t="s">
        <v>23</v>
      </c>
      <c r="M57" s="5">
        <f t="shared" si="5"/>
        <v>2025</v>
      </c>
      <c r="N57" s="5">
        <f t="shared" si="0"/>
        <v>6</v>
      </c>
      <c r="O57" s="21">
        <f t="shared" si="1"/>
        <v>45809</v>
      </c>
      <c r="P57" s="13">
        <f t="shared" si="2"/>
        <v>0.34094606432236263</v>
      </c>
      <c r="Q57" s="5">
        <f t="shared" si="3"/>
        <v>202506</v>
      </c>
      <c r="R57" s="21">
        <f t="shared" si="4"/>
        <v>45809</v>
      </c>
    </row>
    <row r="58" spans="1:18" x14ac:dyDescent="0.25">
      <c r="A58" s="5" t="s">
        <v>167</v>
      </c>
      <c r="B58" s="14">
        <v>45802</v>
      </c>
      <c r="C58" s="5" t="s">
        <v>168</v>
      </c>
      <c r="D58" s="10" t="s">
        <v>42</v>
      </c>
      <c r="E58" s="10" t="s">
        <v>154</v>
      </c>
      <c r="F58" s="10" t="s">
        <v>39</v>
      </c>
      <c r="G58" s="15">
        <v>1</v>
      </c>
      <c r="H58" s="11">
        <v>3175.7828</v>
      </c>
      <c r="I58" s="12">
        <v>25</v>
      </c>
      <c r="J58" s="11">
        <v>2381.8371000000002</v>
      </c>
      <c r="K58" s="11">
        <v>613.20240000000001</v>
      </c>
      <c r="L58" s="10" t="s">
        <v>17</v>
      </c>
      <c r="M58" s="5">
        <f t="shared" si="5"/>
        <v>2025</v>
      </c>
      <c r="N58" s="5">
        <f t="shared" si="0"/>
        <v>5</v>
      </c>
      <c r="O58" s="21">
        <f t="shared" si="1"/>
        <v>45778</v>
      </c>
      <c r="P58" s="13">
        <f t="shared" si="2"/>
        <v>0.25744934445768769</v>
      </c>
      <c r="Q58" s="5">
        <f t="shared" si="3"/>
        <v>202505</v>
      </c>
      <c r="R58" s="21">
        <f t="shared" si="4"/>
        <v>45778</v>
      </c>
    </row>
    <row r="59" spans="1:18" x14ac:dyDescent="0.25">
      <c r="A59" s="5" t="s">
        <v>169</v>
      </c>
      <c r="B59" s="14">
        <v>45945</v>
      </c>
      <c r="C59" s="5" t="s">
        <v>170</v>
      </c>
      <c r="D59" s="10" t="s">
        <v>37</v>
      </c>
      <c r="E59" s="10" t="s">
        <v>88</v>
      </c>
      <c r="F59" s="10" t="s">
        <v>22</v>
      </c>
      <c r="G59" s="15">
        <v>2</v>
      </c>
      <c r="H59" s="11">
        <v>833.69029999999998</v>
      </c>
      <c r="I59" s="12">
        <v>10</v>
      </c>
      <c r="J59" s="11">
        <v>1500.8317999999999</v>
      </c>
      <c r="K59" s="11">
        <v>607.52459999999996</v>
      </c>
      <c r="L59" s="10" t="s">
        <v>23</v>
      </c>
      <c r="M59" s="5">
        <f t="shared" si="5"/>
        <v>2025</v>
      </c>
      <c r="N59" s="5">
        <f t="shared" si="0"/>
        <v>10</v>
      </c>
      <c r="O59" s="21">
        <f t="shared" si="1"/>
        <v>45931</v>
      </c>
      <c r="P59" s="13">
        <f t="shared" si="2"/>
        <v>0.4047919293820933</v>
      </c>
      <c r="Q59" s="5">
        <f t="shared" si="3"/>
        <v>202510</v>
      </c>
      <c r="R59" s="21">
        <f t="shared" si="4"/>
        <v>45931</v>
      </c>
    </row>
    <row r="60" spans="1:18" x14ac:dyDescent="0.25">
      <c r="A60" s="5" t="s">
        <v>171</v>
      </c>
      <c r="B60" s="14">
        <v>45598</v>
      </c>
      <c r="C60" s="5" t="s">
        <v>172</v>
      </c>
      <c r="D60" s="10" t="s">
        <v>42</v>
      </c>
      <c r="E60" s="10" t="s">
        <v>58</v>
      </c>
      <c r="F60" s="10" t="s">
        <v>49</v>
      </c>
      <c r="G60" s="15">
        <v>1</v>
      </c>
      <c r="H60" s="11">
        <v>2281.5292999999997</v>
      </c>
      <c r="I60" s="12">
        <v>20</v>
      </c>
      <c r="J60" s="11">
        <v>1825.4126999999999</v>
      </c>
      <c r="K60" s="11">
        <v>615.09500000000003</v>
      </c>
      <c r="L60" s="10" t="s">
        <v>17</v>
      </c>
      <c r="M60" s="5">
        <f t="shared" si="5"/>
        <v>2024</v>
      </c>
      <c r="N60" s="5">
        <f t="shared" si="0"/>
        <v>11</v>
      </c>
      <c r="O60" s="21">
        <f t="shared" si="1"/>
        <v>45597</v>
      </c>
      <c r="P60" s="13">
        <f t="shared" si="2"/>
        <v>0.33696215655780198</v>
      </c>
      <c r="Q60" s="5">
        <f t="shared" si="3"/>
        <v>202411</v>
      </c>
      <c r="R60" s="21">
        <f t="shared" si="4"/>
        <v>45597</v>
      </c>
    </row>
    <row r="61" spans="1:18" x14ac:dyDescent="0.25">
      <c r="A61" s="5" t="s">
        <v>173</v>
      </c>
      <c r="B61" s="14">
        <v>45778</v>
      </c>
      <c r="C61" s="5" t="s">
        <v>174</v>
      </c>
      <c r="D61" s="10" t="s">
        <v>20</v>
      </c>
      <c r="E61" s="10" t="s">
        <v>38</v>
      </c>
      <c r="F61" s="10" t="s">
        <v>39</v>
      </c>
      <c r="G61" s="15">
        <v>1</v>
      </c>
      <c r="H61" s="11">
        <v>6720.6225999999997</v>
      </c>
      <c r="I61" s="12">
        <v>25</v>
      </c>
      <c r="J61" s="11">
        <v>5040.9400999999998</v>
      </c>
      <c r="K61" s="11">
        <v>1353.2090000000001</v>
      </c>
      <c r="L61" s="10" t="s">
        <v>17</v>
      </c>
      <c r="M61" s="5">
        <f t="shared" si="5"/>
        <v>2025</v>
      </c>
      <c r="N61" s="5">
        <f t="shared" si="0"/>
        <v>5</v>
      </c>
      <c r="O61" s="21">
        <f t="shared" si="1"/>
        <v>45778</v>
      </c>
      <c r="P61" s="13">
        <f t="shared" si="2"/>
        <v>0.26844377698516991</v>
      </c>
      <c r="Q61" s="5">
        <f t="shared" si="3"/>
        <v>202505</v>
      </c>
      <c r="R61" s="21">
        <f t="shared" si="4"/>
        <v>45778</v>
      </c>
    </row>
    <row r="62" spans="1:18" x14ac:dyDescent="0.25">
      <c r="A62" s="5" t="s">
        <v>175</v>
      </c>
      <c r="B62" s="14">
        <v>45987</v>
      </c>
      <c r="C62" s="5" t="s">
        <v>176</v>
      </c>
      <c r="D62" s="10" t="s">
        <v>42</v>
      </c>
      <c r="E62" s="10" t="s">
        <v>177</v>
      </c>
      <c r="F62" s="10" t="s">
        <v>49</v>
      </c>
      <c r="G62" s="15">
        <v>1</v>
      </c>
      <c r="H62" s="11">
        <v>4123.0290999999997</v>
      </c>
      <c r="I62" s="12">
        <v>0</v>
      </c>
      <c r="J62" s="11">
        <v>4123.0290999999997</v>
      </c>
      <c r="K62" s="11">
        <v>1913.4185999999997</v>
      </c>
      <c r="L62" s="10" t="s">
        <v>17</v>
      </c>
      <c r="M62" s="5">
        <f t="shared" si="5"/>
        <v>2025</v>
      </c>
      <c r="N62" s="5">
        <f t="shared" si="0"/>
        <v>11</v>
      </c>
      <c r="O62" s="21">
        <f t="shared" si="1"/>
        <v>45962</v>
      </c>
      <c r="P62" s="13">
        <f t="shared" si="2"/>
        <v>0.46408078953408305</v>
      </c>
      <c r="Q62" s="5">
        <f t="shared" si="3"/>
        <v>202511</v>
      </c>
      <c r="R62" s="21">
        <f t="shared" si="4"/>
        <v>45962</v>
      </c>
    </row>
    <row r="63" spans="1:18" x14ac:dyDescent="0.25">
      <c r="A63" s="5" t="s">
        <v>178</v>
      </c>
      <c r="B63" s="14">
        <v>45658</v>
      </c>
      <c r="C63" s="5" t="s">
        <v>179</v>
      </c>
      <c r="D63" s="10" t="s">
        <v>26</v>
      </c>
      <c r="E63" s="10" t="s">
        <v>64</v>
      </c>
      <c r="F63" s="10" t="s">
        <v>16</v>
      </c>
      <c r="G63" s="15">
        <v>4</v>
      </c>
      <c r="H63" s="11">
        <v>10391.320299999999</v>
      </c>
      <c r="I63" s="12">
        <v>0</v>
      </c>
      <c r="J63" s="11">
        <v>41565.281199999998</v>
      </c>
      <c r="K63" s="11">
        <v>8986.0647999999983</v>
      </c>
      <c r="L63" s="10" t="s">
        <v>17</v>
      </c>
      <c r="M63" s="5">
        <f t="shared" si="5"/>
        <v>2025</v>
      </c>
      <c r="N63" s="5">
        <f t="shared" si="0"/>
        <v>1</v>
      </c>
      <c r="O63" s="21">
        <f t="shared" si="1"/>
        <v>45658</v>
      </c>
      <c r="P63" s="13">
        <f t="shared" si="2"/>
        <v>0.21619160367908202</v>
      </c>
      <c r="Q63" s="5">
        <f t="shared" si="3"/>
        <v>202501</v>
      </c>
      <c r="R63" s="21">
        <f t="shared" si="4"/>
        <v>45658</v>
      </c>
    </row>
    <row r="64" spans="1:18" x14ac:dyDescent="0.25">
      <c r="A64" s="5" t="s">
        <v>180</v>
      </c>
      <c r="B64" s="14">
        <v>45808</v>
      </c>
      <c r="C64" s="5" t="s">
        <v>181</v>
      </c>
      <c r="D64" s="10" t="s">
        <v>37</v>
      </c>
      <c r="E64" s="10" t="s">
        <v>88</v>
      </c>
      <c r="F64" s="10" t="s">
        <v>22</v>
      </c>
      <c r="G64" s="15">
        <v>2</v>
      </c>
      <c r="H64" s="11">
        <v>1226.4048</v>
      </c>
      <c r="I64" s="12">
        <v>20</v>
      </c>
      <c r="J64" s="11">
        <v>1962.6261999999997</v>
      </c>
      <c r="K64" s="11">
        <v>825.17359999999996</v>
      </c>
      <c r="L64" s="10" t="s">
        <v>17</v>
      </c>
      <c r="M64" s="5">
        <f t="shared" si="5"/>
        <v>2025</v>
      </c>
      <c r="N64" s="5">
        <f t="shared" si="0"/>
        <v>5</v>
      </c>
      <c r="O64" s="21">
        <f t="shared" si="1"/>
        <v>45778</v>
      </c>
      <c r="P64" s="13">
        <f t="shared" si="2"/>
        <v>0.42044358727097403</v>
      </c>
      <c r="Q64" s="5">
        <f t="shared" si="3"/>
        <v>202505</v>
      </c>
      <c r="R64" s="21">
        <f t="shared" si="4"/>
        <v>45778</v>
      </c>
    </row>
    <row r="65" spans="1:18" x14ac:dyDescent="0.25">
      <c r="A65" s="5" t="s">
        <v>182</v>
      </c>
      <c r="B65" s="14">
        <v>45461</v>
      </c>
      <c r="C65" s="5" t="s">
        <v>183</v>
      </c>
      <c r="D65" s="10" t="s">
        <v>20</v>
      </c>
      <c r="E65" s="10" t="s">
        <v>184</v>
      </c>
      <c r="F65" s="10" t="s">
        <v>49</v>
      </c>
      <c r="G65" s="15">
        <v>2</v>
      </c>
      <c r="H65" s="11">
        <v>2269.2273999999998</v>
      </c>
      <c r="I65" s="12">
        <v>0</v>
      </c>
      <c r="J65" s="11">
        <v>4538.4547999999995</v>
      </c>
      <c r="K65" s="11">
        <v>1501.7780999999998</v>
      </c>
      <c r="L65" s="10" t="s">
        <v>17</v>
      </c>
      <c r="M65" s="5">
        <f t="shared" si="5"/>
        <v>2024</v>
      </c>
      <c r="N65" s="5">
        <f t="shared" si="0"/>
        <v>6</v>
      </c>
      <c r="O65" s="21">
        <f t="shared" si="1"/>
        <v>45444</v>
      </c>
      <c r="P65" s="13">
        <f t="shared" si="2"/>
        <v>0.33090075062552127</v>
      </c>
      <c r="Q65" s="5">
        <f t="shared" si="3"/>
        <v>202406</v>
      </c>
      <c r="R65" s="21">
        <f t="shared" si="4"/>
        <v>45444</v>
      </c>
    </row>
    <row r="66" spans="1:18" x14ac:dyDescent="0.25">
      <c r="A66" s="5" t="s">
        <v>185</v>
      </c>
      <c r="B66" s="14">
        <v>45977</v>
      </c>
      <c r="C66" s="5" t="s">
        <v>186</v>
      </c>
      <c r="D66" s="10" t="s">
        <v>26</v>
      </c>
      <c r="E66" s="10" t="s">
        <v>187</v>
      </c>
      <c r="F66" s="10" t="s">
        <v>75</v>
      </c>
      <c r="G66" s="15">
        <v>4</v>
      </c>
      <c r="H66" s="11">
        <v>4660.5275000000001</v>
      </c>
      <c r="I66" s="12">
        <v>0</v>
      </c>
      <c r="J66" s="11">
        <v>18642.11</v>
      </c>
      <c r="K66" s="11">
        <v>3068.8508999999999</v>
      </c>
      <c r="L66" s="10" t="s">
        <v>23</v>
      </c>
      <c r="M66" s="5">
        <f t="shared" ref="M66:M129" si="6">YEAR(B66)</f>
        <v>2025</v>
      </c>
      <c r="N66" s="5">
        <f t="shared" ref="N66:N129" si="7">MONTH(B66)</f>
        <v>11</v>
      </c>
      <c r="O66" s="21">
        <f t="shared" ref="O66:O129" si="8">DATE(YEAR(B66),MONTH(B66),1)</f>
        <v>45962</v>
      </c>
      <c r="P66" s="13">
        <f t="shared" ref="P66:P129" si="9">(K66/J66)</f>
        <v>0.1646192893401015</v>
      </c>
      <c r="Q66" s="5">
        <f t="shared" ref="Q66:Q129" si="10">YEAR(B66)*100+MONTH(B66)</f>
        <v>202511</v>
      </c>
      <c r="R66" s="21">
        <f t="shared" ref="R66:R129" si="11">DATE(YEAR(B66),MONTH(B66),1)</f>
        <v>45962</v>
      </c>
    </row>
    <row r="67" spans="1:18" x14ac:dyDescent="0.25">
      <c r="A67" s="5" t="s">
        <v>188</v>
      </c>
      <c r="B67" s="14">
        <v>45359</v>
      </c>
      <c r="C67" s="5" t="s">
        <v>189</v>
      </c>
      <c r="D67" s="10" t="s">
        <v>42</v>
      </c>
      <c r="E67" s="10" t="s">
        <v>111</v>
      </c>
      <c r="F67" s="10" t="s">
        <v>49</v>
      </c>
      <c r="G67" s="15">
        <v>1</v>
      </c>
      <c r="H67" s="11">
        <v>2902.3020999999999</v>
      </c>
      <c r="I67" s="12">
        <v>15</v>
      </c>
      <c r="J67" s="11">
        <v>2467.0041000000001</v>
      </c>
      <c r="K67" s="11">
        <v>1087.2987000000001</v>
      </c>
      <c r="L67" s="10" t="s">
        <v>17</v>
      </c>
      <c r="M67" s="5">
        <f t="shared" si="6"/>
        <v>2024</v>
      </c>
      <c r="N67" s="5">
        <f t="shared" si="7"/>
        <v>3</v>
      </c>
      <c r="O67" s="21">
        <f t="shared" si="8"/>
        <v>45352</v>
      </c>
      <c r="P67" s="13">
        <f t="shared" si="9"/>
        <v>0.44073647871116228</v>
      </c>
      <c r="Q67" s="5">
        <f t="shared" si="10"/>
        <v>202403</v>
      </c>
      <c r="R67" s="21">
        <f t="shared" si="11"/>
        <v>45352</v>
      </c>
    </row>
    <row r="68" spans="1:18" x14ac:dyDescent="0.25">
      <c r="A68" s="5" t="s">
        <v>190</v>
      </c>
      <c r="B68" s="14">
        <v>45365</v>
      </c>
      <c r="C68" s="5" t="s">
        <v>191</v>
      </c>
      <c r="D68" s="10" t="s">
        <v>20</v>
      </c>
      <c r="E68" s="10" t="s">
        <v>27</v>
      </c>
      <c r="F68" s="10" t="s">
        <v>22</v>
      </c>
      <c r="G68" s="15">
        <v>4</v>
      </c>
      <c r="H68" s="11">
        <v>2938.2615000000001</v>
      </c>
      <c r="I68" s="12">
        <v>5</v>
      </c>
      <c r="J68" s="11">
        <v>11165.393699999999</v>
      </c>
      <c r="K68" s="11">
        <v>5652.2498999999998</v>
      </c>
      <c r="L68" s="10" t="s">
        <v>17</v>
      </c>
      <c r="M68" s="5">
        <f t="shared" si="6"/>
        <v>2024</v>
      </c>
      <c r="N68" s="5">
        <f t="shared" si="7"/>
        <v>3</v>
      </c>
      <c r="O68" s="21">
        <f t="shared" si="8"/>
        <v>45352</v>
      </c>
      <c r="P68" s="13">
        <f t="shared" si="9"/>
        <v>0.50622934146961607</v>
      </c>
      <c r="Q68" s="5">
        <f t="shared" si="10"/>
        <v>202403</v>
      </c>
      <c r="R68" s="21">
        <f t="shared" si="11"/>
        <v>45352</v>
      </c>
    </row>
    <row r="69" spans="1:18" x14ac:dyDescent="0.25">
      <c r="A69" s="5" t="s">
        <v>192</v>
      </c>
      <c r="B69" s="14">
        <v>45647</v>
      </c>
      <c r="C69" s="5" t="s">
        <v>193</v>
      </c>
      <c r="D69" s="10" t="s">
        <v>26</v>
      </c>
      <c r="E69" s="10" t="s">
        <v>177</v>
      </c>
      <c r="F69" s="10" t="s">
        <v>49</v>
      </c>
      <c r="G69" s="15">
        <v>3</v>
      </c>
      <c r="H69" s="11">
        <v>8253.6286</v>
      </c>
      <c r="I69" s="12">
        <v>5</v>
      </c>
      <c r="J69" s="11">
        <v>23523.125400000001</v>
      </c>
      <c r="K69" s="11">
        <v>8123.9854999999989</v>
      </c>
      <c r="L69" s="10" t="s">
        <v>17</v>
      </c>
      <c r="M69" s="5">
        <f t="shared" si="6"/>
        <v>2024</v>
      </c>
      <c r="N69" s="5">
        <f t="shared" si="7"/>
        <v>12</v>
      </c>
      <c r="O69" s="21">
        <f t="shared" si="8"/>
        <v>45627</v>
      </c>
      <c r="P69" s="13">
        <f t="shared" si="9"/>
        <v>0.34536165419583226</v>
      </c>
      <c r="Q69" s="5">
        <f t="shared" si="10"/>
        <v>202412</v>
      </c>
      <c r="R69" s="21">
        <f t="shared" si="11"/>
        <v>45627</v>
      </c>
    </row>
    <row r="70" spans="1:18" x14ac:dyDescent="0.25">
      <c r="A70" s="5" t="s">
        <v>194</v>
      </c>
      <c r="B70" s="14">
        <v>45310</v>
      </c>
      <c r="C70" s="5" t="s">
        <v>195</v>
      </c>
      <c r="D70" s="10" t="s">
        <v>26</v>
      </c>
      <c r="E70" s="10" t="s">
        <v>52</v>
      </c>
      <c r="F70" s="10" t="s">
        <v>39</v>
      </c>
      <c r="G70" s="15">
        <v>1</v>
      </c>
      <c r="H70" s="11">
        <v>7309.221199999999</v>
      </c>
      <c r="I70" s="12">
        <v>0</v>
      </c>
      <c r="J70" s="11">
        <v>7309.221199999999</v>
      </c>
      <c r="K70" s="11">
        <v>1531.1134</v>
      </c>
      <c r="L70" s="10" t="s">
        <v>17</v>
      </c>
      <c r="M70" s="5">
        <f t="shared" si="6"/>
        <v>2024</v>
      </c>
      <c r="N70" s="5">
        <f t="shared" si="7"/>
        <v>1</v>
      </c>
      <c r="O70" s="21">
        <f t="shared" si="8"/>
        <v>45292</v>
      </c>
      <c r="P70" s="13">
        <f t="shared" si="9"/>
        <v>0.20947695494562404</v>
      </c>
      <c r="Q70" s="5">
        <f t="shared" si="10"/>
        <v>202401</v>
      </c>
      <c r="R70" s="21">
        <f t="shared" si="11"/>
        <v>45292</v>
      </c>
    </row>
    <row r="71" spans="1:18" x14ac:dyDescent="0.25">
      <c r="A71" s="5" t="s">
        <v>196</v>
      </c>
      <c r="B71" s="14">
        <v>45589</v>
      </c>
      <c r="C71" s="5" t="s">
        <v>197</v>
      </c>
      <c r="D71" s="10" t="s">
        <v>26</v>
      </c>
      <c r="E71" s="10" t="s">
        <v>27</v>
      </c>
      <c r="F71" s="10" t="s">
        <v>22</v>
      </c>
      <c r="G71" s="15">
        <v>4</v>
      </c>
      <c r="H71" s="11">
        <v>949.13889999999992</v>
      </c>
      <c r="I71" s="12">
        <v>10</v>
      </c>
      <c r="J71" s="11">
        <v>3417.0892999999996</v>
      </c>
      <c r="K71" s="11">
        <v>2116.8730999999998</v>
      </c>
      <c r="L71" s="10" t="s">
        <v>17</v>
      </c>
      <c r="M71" s="5">
        <f t="shared" si="6"/>
        <v>2024</v>
      </c>
      <c r="N71" s="5">
        <f t="shared" si="7"/>
        <v>10</v>
      </c>
      <c r="O71" s="21">
        <f t="shared" si="8"/>
        <v>45566</v>
      </c>
      <c r="P71" s="13">
        <f t="shared" si="9"/>
        <v>0.61949598449183052</v>
      </c>
      <c r="Q71" s="5">
        <f t="shared" si="10"/>
        <v>202410</v>
      </c>
      <c r="R71" s="21">
        <f t="shared" si="11"/>
        <v>45566</v>
      </c>
    </row>
    <row r="72" spans="1:18" x14ac:dyDescent="0.25">
      <c r="A72" s="5" t="s">
        <v>198</v>
      </c>
      <c r="B72" s="14">
        <v>45581</v>
      </c>
      <c r="C72" s="5" t="s">
        <v>199</v>
      </c>
      <c r="D72" s="10" t="s">
        <v>20</v>
      </c>
      <c r="E72" s="10" t="s">
        <v>88</v>
      </c>
      <c r="F72" s="10" t="s">
        <v>22</v>
      </c>
      <c r="G72" s="15">
        <v>2</v>
      </c>
      <c r="H72" s="11">
        <v>1243.4382000000001</v>
      </c>
      <c r="I72" s="12">
        <v>0</v>
      </c>
      <c r="J72" s="11">
        <v>2486.8764000000001</v>
      </c>
      <c r="K72" s="11">
        <v>1573.6968999999999</v>
      </c>
      <c r="L72" s="10" t="s">
        <v>17</v>
      </c>
      <c r="M72" s="5">
        <f t="shared" si="6"/>
        <v>2024</v>
      </c>
      <c r="N72" s="5">
        <f t="shared" si="7"/>
        <v>10</v>
      </c>
      <c r="O72" s="21">
        <f t="shared" si="8"/>
        <v>45566</v>
      </c>
      <c r="P72" s="13">
        <f t="shared" si="9"/>
        <v>0.63280060882800604</v>
      </c>
      <c r="Q72" s="5">
        <f t="shared" si="10"/>
        <v>202410</v>
      </c>
      <c r="R72" s="21">
        <f t="shared" si="11"/>
        <v>45566</v>
      </c>
    </row>
    <row r="73" spans="1:18" x14ac:dyDescent="0.25">
      <c r="A73" s="5" t="s">
        <v>200</v>
      </c>
      <c r="B73" s="14">
        <v>45731</v>
      </c>
      <c r="C73" s="5" t="s">
        <v>201</v>
      </c>
      <c r="D73" s="10" t="s">
        <v>26</v>
      </c>
      <c r="E73" s="10" t="s">
        <v>133</v>
      </c>
      <c r="F73" s="10" t="s">
        <v>75</v>
      </c>
      <c r="G73" s="15">
        <v>1</v>
      </c>
      <c r="H73" s="11">
        <v>4634.0310999999992</v>
      </c>
      <c r="I73" s="12">
        <v>10</v>
      </c>
      <c r="J73" s="11">
        <v>4170.3441000000003</v>
      </c>
      <c r="K73" s="11">
        <v>653.89329999999995</v>
      </c>
      <c r="L73" s="10" t="s">
        <v>34</v>
      </c>
      <c r="M73" s="5">
        <f t="shared" si="6"/>
        <v>2025</v>
      </c>
      <c r="N73" s="5">
        <f t="shared" si="7"/>
        <v>3</v>
      </c>
      <c r="O73" s="21">
        <f t="shared" si="8"/>
        <v>45717</v>
      </c>
      <c r="P73" s="13">
        <f t="shared" si="9"/>
        <v>0.15679600635352844</v>
      </c>
      <c r="Q73" s="5">
        <f t="shared" si="10"/>
        <v>202503</v>
      </c>
      <c r="R73" s="21">
        <f t="shared" si="11"/>
        <v>45717</v>
      </c>
    </row>
    <row r="74" spans="1:18" x14ac:dyDescent="0.25">
      <c r="A74" s="5" t="s">
        <v>202</v>
      </c>
      <c r="B74" s="14">
        <v>45604</v>
      </c>
      <c r="C74" s="5" t="s">
        <v>203</v>
      </c>
      <c r="D74" s="10" t="s">
        <v>37</v>
      </c>
      <c r="E74" s="10" t="s">
        <v>151</v>
      </c>
      <c r="F74" s="10" t="s">
        <v>39</v>
      </c>
      <c r="G74" s="15">
        <v>2</v>
      </c>
      <c r="H74" s="11">
        <v>2977.0598</v>
      </c>
      <c r="I74" s="12">
        <v>5</v>
      </c>
      <c r="J74" s="11">
        <v>5656.0351000000001</v>
      </c>
      <c r="K74" s="11">
        <v>1734.5678999999998</v>
      </c>
      <c r="L74" s="10" t="s">
        <v>17</v>
      </c>
      <c r="M74" s="5">
        <f t="shared" si="6"/>
        <v>2024</v>
      </c>
      <c r="N74" s="5">
        <f t="shared" si="7"/>
        <v>11</v>
      </c>
      <c r="O74" s="21">
        <f t="shared" si="8"/>
        <v>45597</v>
      </c>
      <c r="P74" s="13">
        <f t="shared" si="9"/>
        <v>0.30667558976074949</v>
      </c>
      <c r="Q74" s="5">
        <f t="shared" si="10"/>
        <v>202411</v>
      </c>
      <c r="R74" s="21">
        <f t="shared" si="11"/>
        <v>45597</v>
      </c>
    </row>
    <row r="75" spans="1:18" x14ac:dyDescent="0.25">
      <c r="A75" s="5" t="s">
        <v>204</v>
      </c>
      <c r="B75" s="14">
        <v>45718</v>
      </c>
      <c r="C75" s="5" t="s">
        <v>205</v>
      </c>
      <c r="D75" s="10" t="s">
        <v>37</v>
      </c>
      <c r="E75" s="10" t="s">
        <v>94</v>
      </c>
      <c r="F75" s="10" t="s">
        <v>75</v>
      </c>
      <c r="G75" s="15">
        <v>2</v>
      </c>
      <c r="H75" s="11">
        <v>3466.2969000000003</v>
      </c>
      <c r="I75" s="12">
        <v>5</v>
      </c>
      <c r="J75" s="11">
        <v>6586.2479999999996</v>
      </c>
      <c r="K75" s="11">
        <v>1813.1107999999999</v>
      </c>
      <c r="L75" s="10" t="s">
        <v>17</v>
      </c>
      <c r="M75" s="5">
        <f t="shared" si="6"/>
        <v>2025</v>
      </c>
      <c r="N75" s="5">
        <f t="shared" si="7"/>
        <v>3</v>
      </c>
      <c r="O75" s="21">
        <f t="shared" si="8"/>
        <v>45717</v>
      </c>
      <c r="P75" s="13">
        <f t="shared" si="9"/>
        <v>0.27528735632183909</v>
      </c>
      <c r="Q75" s="5">
        <f t="shared" si="10"/>
        <v>202503</v>
      </c>
      <c r="R75" s="21">
        <f t="shared" si="11"/>
        <v>45717</v>
      </c>
    </row>
    <row r="76" spans="1:18" x14ac:dyDescent="0.25">
      <c r="A76" s="5" t="s">
        <v>206</v>
      </c>
      <c r="B76" s="14">
        <v>45738</v>
      </c>
      <c r="C76" s="5" t="s">
        <v>207</v>
      </c>
      <c r="D76" s="10" t="s">
        <v>26</v>
      </c>
      <c r="E76" s="10" t="s">
        <v>208</v>
      </c>
      <c r="F76" s="10" t="s">
        <v>22</v>
      </c>
      <c r="G76" s="15">
        <v>2</v>
      </c>
      <c r="H76" s="11">
        <v>2305.1867999999999</v>
      </c>
      <c r="I76" s="12">
        <v>0</v>
      </c>
      <c r="J76" s="11">
        <v>4610.3735999999999</v>
      </c>
      <c r="K76" s="11">
        <v>2836.0610999999999</v>
      </c>
      <c r="L76" s="10" t="s">
        <v>23</v>
      </c>
      <c r="M76" s="5">
        <f t="shared" si="6"/>
        <v>2025</v>
      </c>
      <c r="N76" s="5">
        <f t="shared" si="7"/>
        <v>3</v>
      </c>
      <c r="O76" s="21">
        <f t="shared" si="8"/>
        <v>45717</v>
      </c>
      <c r="P76" s="13">
        <f t="shared" si="9"/>
        <v>0.61514778325123154</v>
      </c>
      <c r="Q76" s="5">
        <f t="shared" si="10"/>
        <v>202503</v>
      </c>
      <c r="R76" s="21">
        <f t="shared" si="11"/>
        <v>45717</v>
      </c>
    </row>
    <row r="77" spans="1:18" x14ac:dyDescent="0.25">
      <c r="A77" s="5" t="s">
        <v>209</v>
      </c>
      <c r="B77" s="14">
        <v>45974</v>
      </c>
      <c r="C77" s="5" t="s">
        <v>210</v>
      </c>
      <c r="D77" s="10" t="s">
        <v>26</v>
      </c>
      <c r="E77" s="10" t="s">
        <v>211</v>
      </c>
      <c r="F77" s="10" t="s">
        <v>39</v>
      </c>
      <c r="G77" s="15">
        <v>1</v>
      </c>
      <c r="H77" s="11">
        <v>2612.7342999999996</v>
      </c>
      <c r="I77" s="12">
        <v>0</v>
      </c>
      <c r="J77" s="11">
        <v>2612.7342999999996</v>
      </c>
      <c r="K77" s="11">
        <v>967.11860000000001</v>
      </c>
      <c r="L77" s="10" t="s">
        <v>17</v>
      </c>
      <c r="M77" s="5">
        <f t="shared" si="6"/>
        <v>2025</v>
      </c>
      <c r="N77" s="5">
        <f t="shared" si="7"/>
        <v>11</v>
      </c>
      <c r="O77" s="21">
        <f t="shared" si="8"/>
        <v>45962</v>
      </c>
      <c r="P77" s="13">
        <f t="shared" si="9"/>
        <v>0.37015574067366902</v>
      </c>
      <c r="Q77" s="5">
        <f t="shared" si="10"/>
        <v>202511</v>
      </c>
      <c r="R77" s="21">
        <f t="shared" si="11"/>
        <v>45962</v>
      </c>
    </row>
    <row r="78" spans="1:18" x14ac:dyDescent="0.25">
      <c r="A78" s="5" t="s">
        <v>212</v>
      </c>
      <c r="B78" s="14">
        <v>45647</v>
      </c>
      <c r="C78" s="5" t="s">
        <v>213</v>
      </c>
      <c r="D78" s="10" t="s">
        <v>26</v>
      </c>
      <c r="E78" s="10" t="s">
        <v>214</v>
      </c>
      <c r="F78" s="10" t="s">
        <v>49</v>
      </c>
      <c r="G78" s="15">
        <v>2</v>
      </c>
      <c r="H78" s="11">
        <v>3999.0637999999994</v>
      </c>
      <c r="I78" s="12">
        <v>0</v>
      </c>
      <c r="J78" s="11">
        <v>7998.1275999999989</v>
      </c>
      <c r="K78" s="11">
        <v>4318.9132</v>
      </c>
      <c r="L78" s="10" t="s">
        <v>23</v>
      </c>
      <c r="M78" s="5">
        <f t="shared" si="6"/>
        <v>2024</v>
      </c>
      <c r="N78" s="5">
        <f t="shared" si="7"/>
        <v>12</v>
      </c>
      <c r="O78" s="21">
        <f t="shared" si="8"/>
        <v>45627</v>
      </c>
      <c r="P78" s="13">
        <f t="shared" si="9"/>
        <v>0.53999053478466641</v>
      </c>
      <c r="Q78" s="5">
        <f t="shared" si="10"/>
        <v>202412</v>
      </c>
      <c r="R78" s="21">
        <f t="shared" si="11"/>
        <v>45627</v>
      </c>
    </row>
    <row r="79" spans="1:18" x14ac:dyDescent="0.25">
      <c r="A79" s="5" t="s">
        <v>215</v>
      </c>
      <c r="B79" s="14">
        <v>45907</v>
      </c>
      <c r="C79" s="5" t="s">
        <v>216</v>
      </c>
      <c r="D79" s="10" t="s">
        <v>37</v>
      </c>
      <c r="E79" s="10" t="s">
        <v>187</v>
      </c>
      <c r="F79" s="10" t="s">
        <v>75</v>
      </c>
      <c r="G79" s="15">
        <v>5</v>
      </c>
      <c r="H79" s="11">
        <v>5534.9087</v>
      </c>
      <c r="I79" s="12">
        <v>5</v>
      </c>
      <c r="J79" s="11">
        <v>26291.052899999999</v>
      </c>
      <c r="K79" s="11">
        <v>6532.3089</v>
      </c>
      <c r="L79" s="10" t="s">
        <v>17</v>
      </c>
      <c r="M79" s="5">
        <f t="shared" si="6"/>
        <v>2025</v>
      </c>
      <c r="N79" s="5">
        <f t="shared" si="7"/>
        <v>9</v>
      </c>
      <c r="O79" s="21">
        <f t="shared" si="8"/>
        <v>45901</v>
      </c>
      <c r="P79" s="13">
        <f t="shared" si="9"/>
        <v>0.24846128927761582</v>
      </c>
      <c r="Q79" s="5">
        <f t="shared" si="10"/>
        <v>202509</v>
      </c>
      <c r="R79" s="21">
        <f t="shared" si="11"/>
        <v>45901</v>
      </c>
    </row>
    <row r="80" spans="1:18" x14ac:dyDescent="0.25">
      <c r="A80" s="5" t="s">
        <v>217</v>
      </c>
      <c r="B80" s="14">
        <v>45506</v>
      </c>
      <c r="C80" s="5" t="s">
        <v>110</v>
      </c>
      <c r="D80" s="10" t="s">
        <v>20</v>
      </c>
      <c r="E80" s="10" t="s">
        <v>74</v>
      </c>
      <c r="F80" s="10" t="s">
        <v>75</v>
      </c>
      <c r="G80" s="15">
        <v>2</v>
      </c>
      <c r="H80" s="11">
        <v>5317.2596999999996</v>
      </c>
      <c r="I80" s="12">
        <v>15</v>
      </c>
      <c r="J80" s="11">
        <v>9039.0576000000001</v>
      </c>
      <c r="K80" s="11">
        <v>2038.3301999999999</v>
      </c>
      <c r="L80" s="10" t="s">
        <v>17</v>
      </c>
      <c r="M80" s="5">
        <f t="shared" si="6"/>
        <v>2024</v>
      </c>
      <c r="N80" s="5">
        <f t="shared" si="7"/>
        <v>8</v>
      </c>
      <c r="O80" s="21">
        <f t="shared" si="8"/>
        <v>45505</v>
      </c>
      <c r="P80" s="13">
        <f t="shared" si="9"/>
        <v>0.22550251256281406</v>
      </c>
      <c r="Q80" s="5">
        <f t="shared" si="10"/>
        <v>202408</v>
      </c>
      <c r="R80" s="21">
        <f t="shared" si="11"/>
        <v>45505</v>
      </c>
    </row>
    <row r="81" spans="1:18" x14ac:dyDescent="0.25">
      <c r="A81" s="5" t="s">
        <v>218</v>
      </c>
      <c r="B81" s="14">
        <v>45949</v>
      </c>
      <c r="C81" s="5" t="s">
        <v>219</v>
      </c>
      <c r="D81" s="10" t="s">
        <v>14</v>
      </c>
      <c r="E81" s="10" t="s">
        <v>154</v>
      </c>
      <c r="F81" s="10" t="s">
        <v>39</v>
      </c>
      <c r="G81" s="15">
        <v>3</v>
      </c>
      <c r="H81" s="11">
        <v>7389.6566999999995</v>
      </c>
      <c r="I81" s="12">
        <v>0</v>
      </c>
      <c r="J81" s="11">
        <v>22168.970099999999</v>
      </c>
      <c r="K81" s="11">
        <v>8164.6763999999994</v>
      </c>
      <c r="L81" s="10" t="s">
        <v>17</v>
      </c>
      <c r="M81" s="5">
        <f t="shared" si="6"/>
        <v>2025</v>
      </c>
      <c r="N81" s="5">
        <f t="shared" si="7"/>
        <v>10</v>
      </c>
      <c r="O81" s="21">
        <f t="shared" si="8"/>
        <v>45931</v>
      </c>
      <c r="P81" s="13">
        <f t="shared" si="9"/>
        <v>0.36829299526187731</v>
      </c>
      <c r="Q81" s="5">
        <f t="shared" si="10"/>
        <v>202510</v>
      </c>
      <c r="R81" s="21">
        <f t="shared" si="11"/>
        <v>45931</v>
      </c>
    </row>
    <row r="82" spans="1:18" x14ac:dyDescent="0.25">
      <c r="A82" s="5" t="s">
        <v>220</v>
      </c>
      <c r="B82" s="14">
        <v>45753</v>
      </c>
      <c r="C82" s="5" t="s">
        <v>221</v>
      </c>
      <c r="D82" s="10" t="s">
        <v>42</v>
      </c>
      <c r="E82" s="10" t="s">
        <v>222</v>
      </c>
      <c r="F82" s="10" t="s">
        <v>22</v>
      </c>
      <c r="G82" s="15">
        <v>2</v>
      </c>
      <c r="H82" s="11">
        <v>3988.6544999999996</v>
      </c>
      <c r="I82" s="12">
        <v>15</v>
      </c>
      <c r="J82" s="11">
        <v>6781.1857999999993</v>
      </c>
      <c r="K82" s="11">
        <v>2938.2615000000001</v>
      </c>
      <c r="L82" s="10" t="s">
        <v>17</v>
      </c>
      <c r="M82" s="5">
        <f t="shared" si="6"/>
        <v>2025</v>
      </c>
      <c r="N82" s="5">
        <f t="shared" si="7"/>
        <v>4</v>
      </c>
      <c r="O82" s="21">
        <f t="shared" si="8"/>
        <v>45748</v>
      </c>
      <c r="P82" s="13">
        <f t="shared" si="9"/>
        <v>0.43329612056935535</v>
      </c>
      <c r="Q82" s="5">
        <f t="shared" si="10"/>
        <v>202504</v>
      </c>
      <c r="R82" s="21">
        <f t="shared" si="11"/>
        <v>45748</v>
      </c>
    </row>
    <row r="83" spans="1:18" x14ac:dyDescent="0.25">
      <c r="A83" s="5" t="s">
        <v>223</v>
      </c>
      <c r="B83" s="14">
        <v>45942</v>
      </c>
      <c r="C83" s="5" t="s">
        <v>224</v>
      </c>
      <c r="D83" s="10" t="s">
        <v>20</v>
      </c>
      <c r="E83" s="10" t="s">
        <v>214</v>
      </c>
      <c r="F83" s="10" t="s">
        <v>49</v>
      </c>
      <c r="G83" s="15">
        <v>2</v>
      </c>
      <c r="H83" s="11">
        <v>2554.0636999999997</v>
      </c>
      <c r="I83" s="12">
        <v>0</v>
      </c>
      <c r="J83" s="11">
        <v>5108.1273999999994</v>
      </c>
      <c r="K83" s="11">
        <v>1679.6824999999999</v>
      </c>
      <c r="L83" s="10" t="s">
        <v>17</v>
      </c>
      <c r="M83" s="5">
        <f t="shared" si="6"/>
        <v>2025</v>
      </c>
      <c r="N83" s="5">
        <f t="shared" si="7"/>
        <v>10</v>
      </c>
      <c r="O83" s="21">
        <f t="shared" si="8"/>
        <v>45931</v>
      </c>
      <c r="P83" s="13">
        <f t="shared" si="9"/>
        <v>0.32882549092256391</v>
      </c>
      <c r="Q83" s="5">
        <f t="shared" si="10"/>
        <v>202510</v>
      </c>
      <c r="R83" s="21">
        <f t="shared" si="11"/>
        <v>45931</v>
      </c>
    </row>
    <row r="84" spans="1:18" x14ac:dyDescent="0.25">
      <c r="A84" s="5" t="s">
        <v>225</v>
      </c>
      <c r="B84" s="14">
        <v>45759</v>
      </c>
      <c r="C84" s="5" t="s">
        <v>226</v>
      </c>
      <c r="D84" s="10" t="s">
        <v>14</v>
      </c>
      <c r="E84" s="10" t="s">
        <v>227</v>
      </c>
      <c r="F84" s="10" t="s">
        <v>39</v>
      </c>
      <c r="G84" s="15">
        <v>2</v>
      </c>
      <c r="H84" s="11">
        <v>2308.9719999999998</v>
      </c>
      <c r="I84" s="12">
        <v>0</v>
      </c>
      <c r="J84" s="11">
        <v>4617.9439999999995</v>
      </c>
      <c r="K84" s="11">
        <v>1390.1146999999999</v>
      </c>
      <c r="L84" s="10" t="s">
        <v>23</v>
      </c>
      <c r="M84" s="5">
        <f t="shared" si="6"/>
        <v>2025</v>
      </c>
      <c r="N84" s="5">
        <f t="shared" si="7"/>
        <v>4</v>
      </c>
      <c r="O84" s="21">
        <f t="shared" si="8"/>
        <v>45748</v>
      </c>
      <c r="P84" s="13">
        <f t="shared" si="9"/>
        <v>0.3010245901639344</v>
      </c>
      <c r="Q84" s="5">
        <f t="shared" si="10"/>
        <v>202504</v>
      </c>
      <c r="R84" s="21">
        <f t="shared" si="11"/>
        <v>45748</v>
      </c>
    </row>
    <row r="85" spans="1:18" x14ac:dyDescent="0.25">
      <c r="A85" s="5" t="s">
        <v>228</v>
      </c>
      <c r="B85" s="14">
        <v>46006</v>
      </c>
      <c r="C85" s="5" t="s">
        <v>229</v>
      </c>
      <c r="D85" s="10" t="s">
        <v>37</v>
      </c>
      <c r="E85" s="10" t="s">
        <v>83</v>
      </c>
      <c r="F85" s="10" t="s">
        <v>22</v>
      </c>
      <c r="G85" s="15">
        <v>1</v>
      </c>
      <c r="H85" s="11">
        <v>722.02689999999996</v>
      </c>
      <c r="I85" s="12">
        <v>10</v>
      </c>
      <c r="J85" s="11">
        <v>650.10809999999992</v>
      </c>
      <c r="K85" s="11">
        <v>366.21809999999999</v>
      </c>
      <c r="L85" s="10" t="s">
        <v>23</v>
      </c>
      <c r="M85" s="5">
        <f t="shared" si="6"/>
        <v>2025</v>
      </c>
      <c r="N85" s="5">
        <f t="shared" si="7"/>
        <v>12</v>
      </c>
      <c r="O85" s="21">
        <f t="shared" si="8"/>
        <v>45992</v>
      </c>
      <c r="P85" s="13">
        <f t="shared" si="9"/>
        <v>0.56331877729257651</v>
      </c>
      <c r="Q85" s="5">
        <f t="shared" si="10"/>
        <v>202512</v>
      </c>
      <c r="R85" s="21">
        <f t="shared" si="11"/>
        <v>45992</v>
      </c>
    </row>
    <row r="86" spans="1:18" x14ac:dyDescent="0.25">
      <c r="A86" s="5" t="s">
        <v>230</v>
      </c>
      <c r="B86" s="14">
        <v>45683</v>
      </c>
      <c r="C86" s="5" t="s">
        <v>231</v>
      </c>
      <c r="D86" s="10" t="s">
        <v>42</v>
      </c>
      <c r="E86" s="10" t="s">
        <v>232</v>
      </c>
      <c r="F86" s="10" t="s">
        <v>22</v>
      </c>
      <c r="G86" s="15">
        <v>2</v>
      </c>
      <c r="H86" s="11">
        <v>1527.3281999999999</v>
      </c>
      <c r="I86" s="12">
        <v>0</v>
      </c>
      <c r="J86" s="11">
        <v>3054.6563999999998</v>
      </c>
      <c r="K86" s="11">
        <v>1322.9274</v>
      </c>
      <c r="L86" s="10" t="s">
        <v>17</v>
      </c>
      <c r="M86" s="5">
        <f t="shared" si="6"/>
        <v>2025</v>
      </c>
      <c r="N86" s="5">
        <f t="shared" si="7"/>
        <v>1</v>
      </c>
      <c r="O86" s="21">
        <f t="shared" si="8"/>
        <v>45658</v>
      </c>
      <c r="P86" s="13">
        <f t="shared" si="9"/>
        <v>0.43308550185873607</v>
      </c>
      <c r="Q86" s="5">
        <f t="shared" si="10"/>
        <v>202501</v>
      </c>
      <c r="R86" s="21">
        <f t="shared" si="11"/>
        <v>45658</v>
      </c>
    </row>
    <row r="87" spans="1:18" x14ac:dyDescent="0.25">
      <c r="A87" s="5" t="s">
        <v>233</v>
      </c>
      <c r="B87" s="14">
        <v>45923</v>
      </c>
      <c r="C87" s="5" t="s">
        <v>234</v>
      </c>
      <c r="D87" s="10" t="s">
        <v>37</v>
      </c>
      <c r="E87" s="10" t="s">
        <v>105</v>
      </c>
      <c r="F87" s="10" t="s">
        <v>39</v>
      </c>
      <c r="G87" s="15">
        <v>5</v>
      </c>
      <c r="H87" s="11">
        <v>1624.7971</v>
      </c>
      <c r="I87" s="12">
        <v>5</v>
      </c>
      <c r="J87" s="11">
        <v>7718.0227999999997</v>
      </c>
      <c r="K87" s="11">
        <v>2837.9536999999996</v>
      </c>
      <c r="L87" s="10" t="s">
        <v>23</v>
      </c>
      <c r="M87" s="5">
        <f t="shared" si="6"/>
        <v>2025</v>
      </c>
      <c r="N87" s="5">
        <f t="shared" si="7"/>
        <v>9</v>
      </c>
      <c r="O87" s="21">
        <f t="shared" si="8"/>
        <v>45901</v>
      </c>
      <c r="P87" s="13">
        <f t="shared" si="9"/>
        <v>0.36770475723393814</v>
      </c>
      <c r="Q87" s="5">
        <f t="shared" si="10"/>
        <v>202509</v>
      </c>
      <c r="R87" s="21">
        <f t="shared" si="11"/>
        <v>45901</v>
      </c>
    </row>
    <row r="88" spans="1:18" x14ac:dyDescent="0.25">
      <c r="A88" s="5" t="s">
        <v>235</v>
      </c>
      <c r="B88" s="14">
        <v>46020</v>
      </c>
      <c r="C88" s="5" t="s">
        <v>147</v>
      </c>
      <c r="D88" s="10" t="s">
        <v>37</v>
      </c>
      <c r="E88" s="10" t="s">
        <v>232</v>
      </c>
      <c r="F88" s="10" t="s">
        <v>22</v>
      </c>
      <c r="G88" s="15">
        <v>1</v>
      </c>
      <c r="H88" s="11">
        <v>2830.3833</v>
      </c>
      <c r="I88" s="12">
        <v>15</v>
      </c>
      <c r="J88" s="11">
        <v>2405.4946</v>
      </c>
      <c r="K88" s="11">
        <v>964.27969999999993</v>
      </c>
      <c r="L88" s="10" t="s">
        <v>23</v>
      </c>
      <c r="M88" s="5">
        <f t="shared" si="6"/>
        <v>2025</v>
      </c>
      <c r="N88" s="5">
        <f t="shared" si="7"/>
        <v>12</v>
      </c>
      <c r="O88" s="21">
        <f t="shared" si="8"/>
        <v>45992</v>
      </c>
      <c r="P88" s="13">
        <f t="shared" si="9"/>
        <v>0.40086546026750586</v>
      </c>
      <c r="Q88" s="5">
        <f t="shared" si="10"/>
        <v>202512</v>
      </c>
      <c r="R88" s="21">
        <f t="shared" si="11"/>
        <v>45992</v>
      </c>
    </row>
    <row r="89" spans="1:18" x14ac:dyDescent="0.25">
      <c r="A89" s="5" t="s">
        <v>236</v>
      </c>
      <c r="B89" s="14">
        <v>45424</v>
      </c>
      <c r="C89" s="5" t="s">
        <v>237</v>
      </c>
      <c r="D89" s="10" t="s">
        <v>26</v>
      </c>
      <c r="E89" s="10" t="s">
        <v>136</v>
      </c>
      <c r="F89" s="10" t="s">
        <v>75</v>
      </c>
      <c r="G89" s="15">
        <v>3</v>
      </c>
      <c r="H89" s="11">
        <v>4423.0061999999998</v>
      </c>
      <c r="I89" s="12">
        <v>25</v>
      </c>
      <c r="J89" s="11">
        <v>9952.2371000000003</v>
      </c>
      <c r="K89" s="11">
        <v>2070.5043999999998</v>
      </c>
      <c r="L89" s="10" t="s">
        <v>23</v>
      </c>
      <c r="M89" s="5">
        <f t="shared" si="6"/>
        <v>2024</v>
      </c>
      <c r="N89" s="5">
        <f t="shared" si="7"/>
        <v>5</v>
      </c>
      <c r="O89" s="21">
        <f t="shared" si="8"/>
        <v>45413</v>
      </c>
      <c r="P89" s="13">
        <f t="shared" si="9"/>
        <v>0.20804411904535511</v>
      </c>
      <c r="Q89" s="5">
        <f t="shared" si="10"/>
        <v>202405</v>
      </c>
      <c r="R89" s="21">
        <f t="shared" si="11"/>
        <v>45413</v>
      </c>
    </row>
    <row r="90" spans="1:18" x14ac:dyDescent="0.25">
      <c r="A90" s="5" t="s">
        <v>238</v>
      </c>
      <c r="B90" s="14">
        <v>45595</v>
      </c>
      <c r="C90" s="5" t="s">
        <v>239</v>
      </c>
      <c r="D90" s="10" t="s">
        <v>37</v>
      </c>
      <c r="E90" s="10" t="s">
        <v>58</v>
      </c>
      <c r="F90" s="10" t="s">
        <v>49</v>
      </c>
      <c r="G90" s="15">
        <v>1</v>
      </c>
      <c r="H90" s="11">
        <v>4028.3990999999996</v>
      </c>
      <c r="I90" s="12">
        <v>10</v>
      </c>
      <c r="J90" s="11">
        <v>3625.2753000000002</v>
      </c>
      <c r="K90" s="11">
        <v>1827.3052999999998</v>
      </c>
      <c r="L90" s="10" t="s">
        <v>17</v>
      </c>
      <c r="M90" s="5">
        <f t="shared" si="6"/>
        <v>2024</v>
      </c>
      <c r="N90" s="5">
        <f t="shared" si="7"/>
        <v>10</v>
      </c>
      <c r="O90" s="21">
        <f t="shared" si="8"/>
        <v>45566</v>
      </c>
      <c r="P90" s="13">
        <f t="shared" si="9"/>
        <v>0.50404594100756972</v>
      </c>
      <c r="Q90" s="5">
        <f t="shared" si="10"/>
        <v>202410</v>
      </c>
      <c r="R90" s="21">
        <f t="shared" si="11"/>
        <v>45566</v>
      </c>
    </row>
    <row r="91" spans="1:18" x14ac:dyDescent="0.25">
      <c r="A91" s="5" t="s">
        <v>240</v>
      </c>
      <c r="B91" s="14">
        <v>45610</v>
      </c>
      <c r="C91" s="5" t="s">
        <v>241</v>
      </c>
      <c r="D91" s="10" t="s">
        <v>14</v>
      </c>
      <c r="E91" s="10" t="s">
        <v>27</v>
      </c>
      <c r="F91" s="10" t="s">
        <v>22</v>
      </c>
      <c r="G91" s="15">
        <v>2</v>
      </c>
      <c r="H91" s="11">
        <v>3760.5962</v>
      </c>
      <c r="I91" s="12">
        <v>10</v>
      </c>
      <c r="J91" s="11">
        <v>6768.8838999999998</v>
      </c>
      <c r="K91" s="11">
        <v>3157.8030999999996</v>
      </c>
      <c r="L91" s="10" t="s">
        <v>17</v>
      </c>
      <c r="M91" s="5">
        <f t="shared" si="6"/>
        <v>2024</v>
      </c>
      <c r="N91" s="5">
        <f t="shared" si="7"/>
        <v>11</v>
      </c>
      <c r="O91" s="21">
        <f t="shared" si="8"/>
        <v>45597</v>
      </c>
      <c r="P91" s="13">
        <f t="shared" si="9"/>
        <v>0.46651754508597787</v>
      </c>
      <c r="Q91" s="5">
        <f t="shared" si="10"/>
        <v>202411</v>
      </c>
      <c r="R91" s="21">
        <f t="shared" si="11"/>
        <v>45597</v>
      </c>
    </row>
    <row r="92" spans="1:18" x14ac:dyDescent="0.25">
      <c r="A92" s="5" t="s">
        <v>242</v>
      </c>
      <c r="B92" s="14">
        <v>45459</v>
      </c>
      <c r="C92" s="5" t="s">
        <v>243</v>
      </c>
      <c r="D92" s="10" t="s">
        <v>20</v>
      </c>
      <c r="E92" s="10" t="s">
        <v>64</v>
      </c>
      <c r="F92" s="10" t="s">
        <v>16</v>
      </c>
      <c r="G92" s="15">
        <v>4</v>
      </c>
      <c r="H92" s="11">
        <v>12781.674099999998</v>
      </c>
      <c r="I92" s="12">
        <v>5</v>
      </c>
      <c r="J92" s="11">
        <v>48570.740099999995</v>
      </c>
      <c r="K92" s="11">
        <v>10307.0996</v>
      </c>
      <c r="L92" s="10" t="s">
        <v>23</v>
      </c>
      <c r="M92" s="5">
        <f t="shared" si="6"/>
        <v>2024</v>
      </c>
      <c r="N92" s="5">
        <f t="shared" si="7"/>
        <v>6</v>
      </c>
      <c r="O92" s="21">
        <f t="shared" si="8"/>
        <v>45444</v>
      </c>
      <c r="P92" s="13">
        <f t="shared" si="9"/>
        <v>0.21220799968827325</v>
      </c>
      <c r="Q92" s="5">
        <f t="shared" si="10"/>
        <v>202406</v>
      </c>
      <c r="R92" s="21">
        <f t="shared" si="11"/>
        <v>45444</v>
      </c>
    </row>
    <row r="93" spans="1:18" x14ac:dyDescent="0.25">
      <c r="A93" s="5" t="s">
        <v>244</v>
      </c>
      <c r="B93" s="14">
        <v>45607</v>
      </c>
      <c r="C93" s="5" t="s">
        <v>245</v>
      </c>
      <c r="D93" s="10" t="s">
        <v>26</v>
      </c>
      <c r="E93" s="10" t="s">
        <v>246</v>
      </c>
      <c r="F93" s="10" t="s">
        <v>75</v>
      </c>
      <c r="G93" s="15">
        <v>4</v>
      </c>
      <c r="H93" s="11">
        <v>5193.2943999999998</v>
      </c>
      <c r="I93" s="12">
        <v>10</v>
      </c>
      <c r="J93" s="11">
        <v>18696.0491</v>
      </c>
      <c r="K93" s="11">
        <v>5157.335</v>
      </c>
      <c r="L93" s="10" t="s">
        <v>17</v>
      </c>
      <c r="M93" s="5">
        <f t="shared" si="6"/>
        <v>2024</v>
      </c>
      <c r="N93" s="5">
        <f t="shared" si="7"/>
        <v>11</v>
      </c>
      <c r="O93" s="21">
        <f t="shared" si="8"/>
        <v>45597</v>
      </c>
      <c r="P93" s="13">
        <f t="shared" si="9"/>
        <v>0.27585159690236372</v>
      </c>
      <c r="Q93" s="5">
        <f t="shared" si="10"/>
        <v>202411</v>
      </c>
      <c r="R93" s="21">
        <f t="shared" si="11"/>
        <v>45597</v>
      </c>
    </row>
    <row r="94" spans="1:18" x14ac:dyDescent="0.25">
      <c r="A94" s="5" t="s">
        <v>247</v>
      </c>
      <c r="B94" s="14">
        <v>45851</v>
      </c>
      <c r="C94" s="5" t="s">
        <v>248</v>
      </c>
      <c r="D94" s="10" t="s">
        <v>20</v>
      </c>
      <c r="E94" s="10" t="s">
        <v>222</v>
      </c>
      <c r="F94" s="10" t="s">
        <v>22</v>
      </c>
      <c r="G94" s="15">
        <v>1</v>
      </c>
      <c r="H94" s="11">
        <v>2921.2280999999998</v>
      </c>
      <c r="I94" s="12">
        <v>0</v>
      </c>
      <c r="J94" s="11">
        <v>2921.2280999999998</v>
      </c>
      <c r="K94" s="11">
        <v>1416.6111000000001</v>
      </c>
      <c r="L94" s="10" t="s">
        <v>17</v>
      </c>
      <c r="M94" s="5">
        <f t="shared" si="6"/>
        <v>2025</v>
      </c>
      <c r="N94" s="5">
        <f t="shared" si="7"/>
        <v>7</v>
      </c>
      <c r="O94" s="21">
        <f t="shared" si="8"/>
        <v>45839</v>
      </c>
      <c r="P94" s="13">
        <f t="shared" si="9"/>
        <v>0.48493683187560743</v>
      </c>
      <c r="Q94" s="5">
        <f t="shared" si="10"/>
        <v>202507</v>
      </c>
      <c r="R94" s="21">
        <f t="shared" si="11"/>
        <v>45839</v>
      </c>
    </row>
    <row r="95" spans="1:18" x14ac:dyDescent="0.25">
      <c r="A95" s="5" t="s">
        <v>249</v>
      </c>
      <c r="B95" s="14">
        <v>45662</v>
      </c>
      <c r="C95" s="5" t="s">
        <v>250</v>
      </c>
      <c r="D95" s="10" t="s">
        <v>20</v>
      </c>
      <c r="E95" s="10" t="s">
        <v>208</v>
      </c>
      <c r="F95" s="10" t="s">
        <v>22</v>
      </c>
      <c r="G95" s="15">
        <v>1</v>
      </c>
      <c r="H95" s="11">
        <v>3110.4880999999996</v>
      </c>
      <c r="I95" s="12">
        <v>10</v>
      </c>
      <c r="J95" s="11">
        <v>2799.1553999999996</v>
      </c>
      <c r="K95" s="11">
        <v>1475.2817</v>
      </c>
      <c r="L95" s="10" t="s">
        <v>23</v>
      </c>
      <c r="M95" s="5">
        <f t="shared" si="6"/>
        <v>2025</v>
      </c>
      <c r="N95" s="5">
        <f t="shared" si="7"/>
        <v>1</v>
      </c>
      <c r="O95" s="21">
        <f t="shared" si="8"/>
        <v>45658</v>
      </c>
      <c r="P95" s="13">
        <f t="shared" si="9"/>
        <v>0.52704530087897239</v>
      </c>
      <c r="Q95" s="5">
        <f t="shared" si="10"/>
        <v>202501</v>
      </c>
      <c r="R95" s="21">
        <f t="shared" si="11"/>
        <v>45658</v>
      </c>
    </row>
    <row r="96" spans="1:18" x14ac:dyDescent="0.25">
      <c r="A96" s="5" t="s">
        <v>251</v>
      </c>
      <c r="B96" s="14">
        <v>45733</v>
      </c>
      <c r="C96" s="5" t="s">
        <v>252</v>
      </c>
      <c r="D96" s="10" t="s">
        <v>26</v>
      </c>
      <c r="E96" s="10" t="s">
        <v>253</v>
      </c>
      <c r="F96" s="10" t="s">
        <v>49</v>
      </c>
      <c r="G96" s="15">
        <v>1</v>
      </c>
      <c r="H96" s="11">
        <v>6670.4686999999994</v>
      </c>
      <c r="I96" s="12">
        <v>0</v>
      </c>
      <c r="J96" s="11">
        <v>6670.4686999999994</v>
      </c>
      <c r="K96" s="11">
        <v>3665.9661999999998</v>
      </c>
      <c r="L96" s="10" t="s">
        <v>23</v>
      </c>
      <c r="M96" s="5">
        <f t="shared" si="6"/>
        <v>2025</v>
      </c>
      <c r="N96" s="5">
        <f t="shared" si="7"/>
        <v>3</v>
      </c>
      <c r="O96" s="21">
        <f t="shared" si="8"/>
        <v>45717</v>
      </c>
      <c r="P96" s="13">
        <f t="shared" si="9"/>
        <v>0.54958150092211666</v>
      </c>
      <c r="Q96" s="5">
        <f t="shared" si="10"/>
        <v>202503</v>
      </c>
      <c r="R96" s="21">
        <f t="shared" si="11"/>
        <v>45717</v>
      </c>
    </row>
    <row r="97" spans="1:18" x14ac:dyDescent="0.25">
      <c r="A97" s="5" t="s">
        <v>254</v>
      </c>
      <c r="B97" s="14">
        <v>45368</v>
      </c>
      <c r="C97" s="5" t="s">
        <v>57</v>
      </c>
      <c r="D97" s="10" t="s">
        <v>37</v>
      </c>
      <c r="E97" s="10" t="s">
        <v>136</v>
      </c>
      <c r="F97" s="10" t="s">
        <v>75</v>
      </c>
      <c r="G97" s="15">
        <v>2</v>
      </c>
      <c r="H97" s="11">
        <v>3421.8207999999995</v>
      </c>
      <c r="I97" s="12">
        <v>5</v>
      </c>
      <c r="J97" s="11">
        <v>6501.0810000000001</v>
      </c>
      <c r="K97" s="11">
        <v>1196.1232</v>
      </c>
      <c r="L97" s="10" t="s">
        <v>23</v>
      </c>
      <c r="M97" s="5">
        <f t="shared" si="6"/>
        <v>2024</v>
      </c>
      <c r="N97" s="5">
        <f t="shared" si="7"/>
        <v>3</v>
      </c>
      <c r="O97" s="21">
        <f t="shared" si="8"/>
        <v>45352</v>
      </c>
      <c r="P97" s="13">
        <f t="shared" si="9"/>
        <v>0.18398835516739445</v>
      </c>
      <c r="Q97" s="5">
        <f t="shared" si="10"/>
        <v>202403</v>
      </c>
      <c r="R97" s="21">
        <f t="shared" si="11"/>
        <v>45352</v>
      </c>
    </row>
    <row r="98" spans="1:18" x14ac:dyDescent="0.25">
      <c r="A98" s="5" t="s">
        <v>255</v>
      </c>
      <c r="B98" s="14">
        <v>45357</v>
      </c>
      <c r="C98" s="5" t="s">
        <v>256</v>
      </c>
      <c r="D98" s="10" t="s">
        <v>26</v>
      </c>
      <c r="E98" s="10" t="s">
        <v>148</v>
      </c>
      <c r="F98" s="10" t="s">
        <v>16</v>
      </c>
      <c r="G98" s="15">
        <v>2</v>
      </c>
      <c r="H98" s="11">
        <v>4654.8496999999998</v>
      </c>
      <c r="I98" s="12">
        <v>0</v>
      </c>
      <c r="J98" s="11">
        <v>9309.6993999999995</v>
      </c>
      <c r="K98" s="11">
        <v>1985.3373999999999</v>
      </c>
      <c r="L98" s="10" t="s">
        <v>23</v>
      </c>
      <c r="M98" s="5">
        <f t="shared" si="6"/>
        <v>2024</v>
      </c>
      <c r="N98" s="5">
        <f t="shared" si="7"/>
        <v>3</v>
      </c>
      <c r="O98" s="21">
        <f t="shared" si="8"/>
        <v>45352</v>
      </c>
      <c r="P98" s="13">
        <f t="shared" si="9"/>
        <v>0.21325472657044114</v>
      </c>
      <c r="Q98" s="5">
        <f t="shared" si="10"/>
        <v>202403</v>
      </c>
      <c r="R98" s="21">
        <f t="shared" si="11"/>
        <v>45352</v>
      </c>
    </row>
    <row r="99" spans="1:18" x14ac:dyDescent="0.25">
      <c r="A99" s="5" t="s">
        <v>257</v>
      </c>
      <c r="B99" s="14">
        <v>45736</v>
      </c>
      <c r="C99" s="5" t="s">
        <v>258</v>
      </c>
      <c r="D99" s="10" t="s">
        <v>37</v>
      </c>
      <c r="E99" s="10" t="s">
        <v>184</v>
      </c>
      <c r="F99" s="10" t="s">
        <v>49</v>
      </c>
      <c r="G99" s="15">
        <v>2</v>
      </c>
      <c r="H99" s="11">
        <v>2889.0538999999999</v>
      </c>
      <c r="I99" s="12">
        <v>10</v>
      </c>
      <c r="J99" s="11">
        <v>5199.9184999999998</v>
      </c>
      <c r="K99" s="11">
        <v>1956.0021000000002</v>
      </c>
      <c r="L99" s="10" t="s">
        <v>34</v>
      </c>
      <c r="M99" s="5">
        <f t="shared" si="6"/>
        <v>2025</v>
      </c>
      <c r="N99" s="5">
        <f t="shared" si="7"/>
        <v>3</v>
      </c>
      <c r="O99" s="21">
        <f t="shared" si="8"/>
        <v>45717</v>
      </c>
      <c r="P99" s="13">
        <f t="shared" si="9"/>
        <v>0.3761601455868972</v>
      </c>
      <c r="Q99" s="5">
        <f t="shared" si="10"/>
        <v>202503</v>
      </c>
      <c r="R99" s="21">
        <f t="shared" si="11"/>
        <v>45717</v>
      </c>
    </row>
    <row r="100" spans="1:18" x14ac:dyDescent="0.25">
      <c r="A100" s="5" t="s">
        <v>259</v>
      </c>
      <c r="B100" s="14">
        <v>45313</v>
      </c>
      <c r="C100" s="5" t="s">
        <v>260</v>
      </c>
      <c r="D100" s="10" t="s">
        <v>37</v>
      </c>
      <c r="E100" s="10" t="s">
        <v>211</v>
      </c>
      <c r="F100" s="10" t="s">
        <v>39</v>
      </c>
      <c r="G100" s="15">
        <v>2</v>
      </c>
      <c r="H100" s="11">
        <v>2743.3236999999999</v>
      </c>
      <c r="I100" s="12">
        <v>5</v>
      </c>
      <c r="J100" s="11">
        <v>5212.2203999999992</v>
      </c>
      <c r="K100" s="11">
        <v>1828.2515999999998</v>
      </c>
      <c r="L100" s="10" t="s">
        <v>17</v>
      </c>
      <c r="M100" s="5">
        <f t="shared" si="6"/>
        <v>2024</v>
      </c>
      <c r="N100" s="5">
        <f t="shared" si="7"/>
        <v>1</v>
      </c>
      <c r="O100" s="21">
        <f t="shared" si="8"/>
        <v>45292</v>
      </c>
      <c r="P100" s="13">
        <f t="shared" si="9"/>
        <v>0.35076252723311546</v>
      </c>
      <c r="Q100" s="5">
        <f t="shared" si="10"/>
        <v>202401</v>
      </c>
      <c r="R100" s="21">
        <f t="shared" si="11"/>
        <v>45292</v>
      </c>
    </row>
    <row r="101" spans="1:18" x14ac:dyDescent="0.25">
      <c r="A101" s="5" t="s">
        <v>261</v>
      </c>
      <c r="B101" s="14">
        <v>45480</v>
      </c>
      <c r="C101" s="5" t="s">
        <v>262</v>
      </c>
      <c r="D101" s="10" t="s">
        <v>42</v>
      </c>
      <c r="E101" s="10" t="s">
        <v>246</v>
      </c>
      <c r="F101" s="10" t="s">
        <v>75</v>
      </c>
      <c r="G101" s="15">
        <v>3</v>
      </c>
      <c r="H101" s="11">
        <v>3404.7873999999997</v>
      </c>
      <c r="I101" s="12">
        <v>20</v>
      </c>
      <c r="J101" s="11">
        <v>8171.3004999999994</v>
      </c>
      <c r="K101" s="11">
        <v>2670.4585999999999</v>
      </c>
      <c r="L101" s="10" t="s">
        <v>17</v>
      </c>
      <c r="M101" s="5">
        <f t="shared" si="6"/>
        <v>2024</v>
      </c>
      <c r="N101" s="5">
        <f t="shared" si="7"/>
        <v>7</v>
      </c>
      <c r="O101" s="21">
        <f t="shared" si="8"/>
        <v>45474</v>
      </c>
      <c r="P101" s="13">
        <f t="shared" si="9"/>
        <v>0.32680949623624783</v>
      </c>
      <c r="Q101" s="5">
        <f t="shared" si="10"/>
        <v>202407</v>
      </c>
      <c r="R101" s="21">
        <f t="shared" si="11"/>
        <v>45474</v>
      </c>
    </row>
    <row r="102" spans="1:18" x14ac:dyDescent="0.25">
      <c r="A102" s="5" t="s">
        <v>263</v>
      </c>
      <c r="B102" s="14">
        <v>45482</v>
      </c>
      <c r="C102" s="5" t="s">
        <v>264</v>
      </c>
      <c r="D102" s="10" t="s">
        <v>37</v>
      </c>
      <c r="E102" s="10" t="s">
        <v>111</v>
      </c>
      <c r="F102" s="10" t="s">
        <v>49</v>
      </c>
      <c r="G102" s="15">
        <v>2</v>
      </c>
      <c r="H102" s="11">
        <v>3273.2517000000003</v>
      </c>
      <c r="I102" s="12">
        <v>0</v>
      </c>
      <c r="J102" s="11">
        <v>6546.5034000000005</v>
      </c>
      <c r="K102" s="11">
        <v>3154.9642000000003</v>
      </c>
      <c r="L102" s="10" t="s">
        <v>17</v>
      </c>
      <c r="M102" s="5">
        <f t="shared" si="6"/>
        <v>2024</v>
      </c>
      <c r="N102" s="5">
        <f t="shared" si="7"/>
        <v>7</v>
      </c>
      <c r="O102" s="21">
        <f t="shared" si="8"/>
        <v>45474</v>
      </c>
      <c r="P102" s="13">
        <f t="shared" si="9"/>
        <v>0.48193119398670137</v>
      </c>
      <c r="Q102" s="5">
        <f t="shared" si="10"/>
        <v>202407</v>
      </c>
      <c r="R102" s="21">
        <f t="shared" si="11"/>
        <v>45474</v>
      </c>
    </row>
    <row r="103" spans="1:18" x14ac:dyDescent="0.25">
      <c r="A103" s="5" t="s">
        <v>265</v>
      </c>
      <c r="B103" s="14">
        <v>45392</v>
      </c>
      <c r="C103" s="5" t="s">
        <v>266</v>
      </c>
      <c r="D103" s="10" t="s">
        <v>42</v>
      </c>
      <c r="E103" s="10" t="s">
        <v>133</v>
      </c>
      <c r="F103" s="10" t="s">
        <v>75</v>
      </c>
      <c r="G103" s="15">
        <v>1</v>
      </c>
      <c r="H103" s="11">
        <v>1525.4356</v>
      </c>
      <c r="I103" s="12">
        <v>0</v>
      </c>
      <c r="J103" s="11">
        <v>1525.4356</v>
      </c>
      <c r="K103" s="11">
        <v>469.3648</v>
      </c>
      <c r="L103" s="10" t="s">
        <v>17</v>
      </c>
      <c r="M103" s="5">
        <f t="shared" si="6"/>
        <v>2024</v>
      </c>
      <c r="N103" s="5">
        <f t="shared" si="7"/>
        <v>4</v>
      </c>
      <c r="O103" s="21">
        <f t="shared" si="8"/>
        <v>45383</v>
      </c>
      <c r="P103" s="13">
        <f t="shared" si="9"/>
        <v>0.30769230769230771</v>
      </c>
      <c r="Q103" s="5">
        <f t="shared" si="10"/>
        <v>202404</v>
      </c>
      <c r="R103" s="21">
        <f t="shared" si="11"/>
        <v>45383</v>
      </c>
    </row>
    <row r="104" spans="1:18" x14ac:dyDescent="0.25">
      <c r="A104" s="5" t="s">
        <v>267</v>
      </c>
      <c r="B104" s="14">
        <v>45596</v>
      </c>
      <c r="C104" s="5" t="s">
        <v>268</v>
      </c>
      <c r="D104" s="10" t="s">
        <v>20</v>
      </c>
      <c r="E104" s="10" t="s">
        <v>269</v>
      </c>
      <c r="F104" s="10" t="s">
        <v>75</v>
      </c>
      <c r="G104" s="15">
        <v>3</v>
      </c>
      <c r="H104" s="11">
        <v>5432.7082999999993</v>
      </c>
      <c r="I104" s="12">
        <v>10</v>
      </c>
      <c r="J104" s="11">
        <v>14668.596299999999</v>
      </c>
      <c r="K104" s="11">
        <v>3524.9674999999997</v>
      </c>
      <c r="L104" s="10" t="s">
        <v>23</v>
      </c>
      <c r="M104" s="5">
        <f t="shared" si="6"/>
        <v>2024</v>
      </c>
      <c r="N104" s="5">
        <f t="shared" si="7"/>
        <v>10</v>
      </c>
      <c r="O104" s="21">
        <f t="shared" si="8"/>
        <v>45566</v>
      </c>
      <c r="P104" s="13">
        <f t="shared" si="9"/>
        <v>0.24030707696277659</v>
      </c>
      <c r="Q104" s="5">
        <f t="shared" si="10"/>
        <v>202410</v>
      </c>
      <c r="R104" s="21">
        <f t="shared" si="11"/>
        <v>45566</v>
      </c>
    </row>
    <row r="105" spans="1:18" x14ac:dyDescent="0.25">
      <c r="A105" s="5" t="s">
        <v>270</v>
      </c>
      <c r="B105" s="14">
        <v>45859</v>
      </c>
      <c r="C105" s="5" t="s">
        <v>271</v>
      </c>
      <c r="D105" s="10" t="s">
        <v>20</v>
      </c>
      <c r="E105" s="10" t="s">
        <v>21</v>
      </c>
      <c r="F105" s="10" t="s">
        <v>22</v>
      </c>
      <c r="G105" s="15">
        <v>1</v>
      </c>
      <c r="H105" s="11">
        <v>2171.7584999999999</v>
      </c>
      <c r="I105" s="12">
        <v>0</v>
      </c>
      <c r="J105" s="11">
        <v>2171.7584999999999</v>
      </c>
      <c r="K105" s="11">
        <v>1212.2103</v>
      </c>
      <c r="L105" s="10" t="s">
        <v>17</v>
      </c>
      <c r="M105" s="5">
        <f t="shared" si="6"/>
        <v>2025</v>
      </c>
      <c r="N105" s="5">
        <f t="shared" si="7"/>
        <v>7</v>
      </c>
      <c r="O105" s="21">
        <f t="shared" si="8"/>
        <v>45839</v>
      </c>
      <c r="P105" s="13">
        <f t="shared" si="9"/>
        <v>0.55816993464052289</v>
      </c>
      <c r="Q105" s="5">
        <f t="shared" si="10"/>
        <v>202507</v>
      </c>
      <c r="R105" s="21">
        <f t="shared" si="11"/>
        <v>45839</v>
      </c>
    </row>
    <row r="106" spans="1:18" x14ac:dyDescent="0.25">
      <c r="A106" s="5" t="s">
        <v>272</v>
      </c>
      <c r="B106" s="14">
        <v>45629</v>
      </c>
      <c r="C106" s="5" t="s">
        <v>273</v>
      </c>
      <c r="D106" s="10" t="s">
        <v>37</v>
      </c>
      <c r="E106" s="10" t="s">
        <v>269</v>
      </c>
      <c r="F106" s="10" t="s">
        <v>75</v>
      </c>
      <c r="G106" s="15">
        <v>4</v>
      </c>
      <c r="H106" s="11">
        <v>2593.8082999999997</v>
      </c>
      <c r="I106" s="12">
        <v>0</v>
      </c>
      <c r="J106" s="11">
        <v>10375.233199999999</v>
      </c>
      <c r="K106" s="11">
        <v>3523.0748999999996</v>
      </c>
      <c r="L106" s="10" t="s">
        <v>17</v>
      </c>
      <c r="M106" s="5">
        <f t="shared" si="6"/>
        <v>2024</v>
      </c>
      <c r="N106" s="5">
        <f t="shared" si="7"/>
        <v>12</v>
      </c>
      <c r="O106" s="21">
        <f t="shared" si="8"/>
        <v>45627</v>
      </c>
      <c r="P106" s="13">
        <f t="shared" si="9"/>
        <v>0.33956585187887633</v>
      </c>
      <c r="Q106" s="5">
        <f t="shared" si="10"/>
        <v>202412</v>
      </c>
      <c r="R106" s="21">
        <f t="shared" si="11"/>
        <v>45627</v>
      </c>
    </row>
    <row r="107" spans="1:18" x14ac:dyDescent="0.25">
      <c r="A107" s="5" t="s">
        <v>274</v>
      </c>
      <c r="B107" s="14">
        <v>45641</v>
      </c>
      <c r="C107" s="5" t="s">
        <v>275</v>
      </c>
      <c r="D107" s="10" t="s">
        <v>26</v>
      </c>
      <c r="E107" s="10" t="s">
        <v>58</v>
      </c>
      <c r="F107" s="10" t="s">
        <v>49</v>
      </c>
      <c r="G107" s="15">
        <v>1</v>
      </c>
      <c r="H107" s="11">
        <v>1967.3576999999998</v>
      </c>
      <c r="I107" s="12">
        <v>20</v>
      </c>
      <c r="J107" s="11">
        <v>1573.6968999999999</v>
      </c>
      <c r="K107" s="11">
        <v>612.25609999999995</v>
      </c>
      <c r="L107" s="10" t="s">
        <v>34</v>
      </c>
      <c r="M107" s="5">
        <f t="shared" si="6"/>
        <v>2024</v>
      </c>
      <c r="N107" s="5">
        <f t="shared" si="7"/>
        <v>12</v>
      </c>
      <c r="O107" s="21">
        <f t="shared" si="8"/>
        <v>45627</v>
      </c>
      <c r="P107" s="13">
        <f t="shared" si="9"/>
        <v>0.38905592303066744</v>
      </c>
      <c r="Q107" s="5">
        <f t="shared" si="10"/>
        <v>202412</v>
      </c>
      <c r="R107" s="21">
        <f t="shared" si="11"/>
        <v>45627</v>
      </c>
    </row>
    <row r="108" spans="1:18" x14ac:dyDescent="0.25">
      <c r="A108" s="5" t="s">
        <v>276</v>
      </c>
      <c r="B108" s="14">
        <v>46015</v>
      </c>
      <c r="C108" s="5" t="s">
        <v>277</v>
      </c>
      <c r="D108" s="10" t="s">
        <v>42</v>
      </c>
      <c r="E108" s="10" t="s">
        <v>64</v>
      </c>
      <c r="F108" s="10" t="s">
        <v>16</v>
      </c>
      <c r="G108" s="15">
        <v>4</v>
      </c>
      <c r="H108" s="11">
        <v>9647.5285000000003</v>
      </c>
      <c r="I108" s="12">
        <v>5</v>
      </c>
      <c r="J108" s="11">
        <v>36660.6083</v>
      </c>
      <c r="K108" s="11">
        <v>5738.3631999999998</v>
      </c>
      <c r="L108" s="10" t="s">
        <v>34</v>
      </c>
      <c r="M108" s="5">
        <f t="shared" si="6"/>
        <v>2025</v>
      </c>
      <c r="N108" s="5">
        <f t="shared" si="7"/>
        <v>12</v>
      </c>
      <c r="O108" s="21">
        <f t="shared" si="8"/>
        <v>45992</v>
      </c>
      <c r="P108" s="13">
        <f t="shared" si="9"/>
        <v>0.15652667716372834</v>
      </c>
      <c r="Q108" s="5">
        <f t="shared" si="10"/>
        <v>202512</v>
      </c>
      <c r="R108" s="21">
        <f t="shared" si="11"/>
        <v>45992</v>
      </c>
    </row>
    <row r="109" spans="1:18" x14ac:dyDescent="0.25">
      <c r="A109" s="5" t="s">
        <v>278</v>
      </c>
      <c r="B109" s="14">
        <v>46002</v>
      </c>
      <c r="C109" s="5" t="s">
        <v>279</v>
      </c>
      <c r="D109" s="10" t="s">
        <v>14</v>
      </c>
      <c r="E109" s="10" t="s">
        <v>151</v>
      </c>
      <c r="F109" s="10" t="s">
        <v>39</v>
      </c>
      <c r="G109" s="15">
        <v>2</v>
      </c>
      <c r="H109" s="11">
        <v>3270.4128000000001</v>
      </c>
      <c r="I109" s="12">
        <v>0</v>
      </c>
      <c r="J109" s="11">
        <v>6540.8256000000001</v>
      </c>
      <c r="K109" s="11">
        <v>2345.8777</v>
      </c>
      <c r="L109" s="10" t="s">
        <v>23</v>
      </c>
      <c r="M109" s="5">
        <f t="shared" si="6"/>
        <v>2025</v>
      </c>
      <c r="N109" s="5">
        <f t="shared" si="7"/>
        <v>12</v>
      </c>
      <c r="O109" s="21">
        <f t="shared" si="8"/>
        <v>45992</v>
      </c>
      <c r="P109" s="13">
        <f t="shared" si="9"/>
        <v>0.35865162037037035</v>
      </c>
      <c r="Q109" s="5">
        <f t="shared" si="10"/>
        <v>202512</v>
      </c>
      <c r="R109" s="21">
        <f t="shared" si="11"/>
        <v>45992</v>
      </c>
    </row>
    <row r="110" spans="1:18" x14ac:dyDescent="0.25">
      <c r="A110" s="5" t="s">
        <v>280</v>
      </c>
      <c r="B110" s="14">
        <v>45874</v>
      </c>
      <c r="C110" s="5" t="s">
        <v>281</v>
      </c>
      <c r="D110" s="10" t="s">
        <v>42</v>
      </c>
      <c r="E110" s="10" t="s">
        <v>55</v>
      </c>
      <c r="F110" s="10" t="s">
        <v>16</v>
      </c>
      <c r="G110" s="15">
        <v>4</v>
      </c>
      <c r="H110" s="11">
        <v>9024.8631000000005</v>
      </c>
      <c r="I110" s="12">
        <v>20</v>
      </c>
      <c r="J110" s="11">
        <v>28879.183399999998</v>
      </c>
      <c r="K110" s="11">
        <v>7026.2774999999992</v>
      </c>
      <c r="L110" s="10" t="s">
        <v>23</v>
      </c>
      <c r="M110" s="5">
        <f t="shared" si="6"/>
        <v>2025</v>
      </c>
      <c r="N110" s="5">
        <f t="shared" si="7"/>
        <v>8</v>
      </c>
      <c r="O110" s="21">
        <f t="shared" si="8"/>
        <v>45870</v>
      </c>
      <c r="P110" s="13">
        <f t="shared" si="9"/>
        <v>0.24329903663411756</v>
      </c>
      <c r="Q110" s="5">
        <f t="shared" si="10"/>
        <v>202508</v>
      </c>
      <c r="R110" s="21">
        <f t="shared" si="11"/>
        <v>45870</v>
      </c>
    </row>
    <row r="111" spans="1:18" x14ac:dyDescent="0.25">
      <c r="A111" s="5" t="s">
        <v>282</v>
      </c>
      <c r="B111" s="14">
        <v>45487</v>
      </c>
      <c r="C111" s="5" t="s">
        <v>283</v>
      </c>
      <c r="D111" s="10" t="s">
        <v>26</v>
      </c>
      <c r="E111" s="10" t="s">
        <v>83</v>
      </c>
      <c r="F111" s="10" t="s">
        <v>22</v>
      </c>
      <c r="G111" s="15">
        <v>4</v>
      </c>
      <c r="H111" s="11">
        <v>2762.2496999999998</v>
      </c>
      <c r="I111" s="12">
        <v>0</v>
      </c>
      <c r="J111" s="11">
        <v>11048.998799999999</v>
      </c>
      <c r="K111" s="11">
        <v>6395.0953999999992</v>
      </c>
      <c r="L111" s="10" t="s">
        <v>17</v>
      </c>
      <c r="M111" s="5">
        <f t="shared" si="6"/>
        <v>2024</v>
      </c>
      <c r="N111" s="5">
        <f t="shared" si="7"/>
        <v>7</v>
      </c>
      <c r="O111" s="21">
        <f t="shared" si="8"/>
        <v>45474</v>
      </c>
      <c r="P111" s="13">
        <f t="shared" si="9"/>
        <v>0.57879410757108596</v>
      </c>
      <c r="Q111" s="5">
        <f t="shared" si="10"/>
        <v>202407</v>
      </c>
      <c r="R111" s="21">
        <f t="shared" si="11"/>
        <v>45474</v>
      </c>
    </row>
    <row r="112" spans="1:18" x14ac:dyDescent="0.25">
      <c r="A112" s="5" t="s">
        <v>284</v>
      </c>
      <c r="B112" s="14">
        <v>45550</v>
      </c>
      <c r="C112" s="5" t="s">
        <v>285</v>
      </c>
      <c r="D112" s="10" t="s">
        <v>42</v>
      </c>
      <c r="E112" s="10" t="s">
        <v>286</v>
      </c>
      <c r="F112" s="10" t="s">
        <v>39</v>
      </c>
      <c r="G112" s="15">
        <v>1</v>
      </c>
      <c r="H112" s="11">
        <v>2899.4631999999997</v>
      </c>
      <c r="I112" s="12">
        <v>0</v>
      </c>
      <c r="J112" s="11">
        <v>2899.4631999999997</v>
      </c>
      <c r="K112" s="11">
        <v>788.26789999999994</v>
      </c>
      <c r="L112" s="10" t="s">
        <v>17</v>
      </c>
      <c r="M112" s="5">
        <f t="shared" si="6"/>
        <v>2024</v>
      </c>
      <c r="N112" s="5">
        <f t="shared" si="7"/>
        <v>9</v>
      </c>
      <c r="O112" s="21">
        <f t="shared" si="8"/>
        <v>45536</v>
      </c>
      <c r="P112" s="13">
        <f t="shared" si="9"/>
        <v>0.27186684073107048</v>
      </c>
      <c r="Q112" s="5">
        <f t="shared" si="10"/>
        <v>202409</v>
      </c>
      <c r="R112" s="21">
        <f t="shared" si="11"/>
        <v>45536</v>
      </c>
    </row>
    <row r="113" spans="1:18" x14ac:dyDescent="0.25">
      <c r="A113" s="5" t="s">
        <v>287</v>
      </c>
      <c r="B113" s="14">
        <v>45565</v>
      </c>
      <c r="C113" s="5" t="s">
        <v>288</v>
      </c>
      <c r="D113" s="10" t="s">
        <v>20</v>
      </c>
      <c r="E113" s="10" t="s">
        <v>253</v>
      </c>
      <c r="F113" s="10" t="s">
        <v>49</v>
      </c>
      <c r="G113" s="15">
        <v>3</v>
      </c>
      <c r="H113" s="11">
        <v>6062.9440999999988</v>
      </c>
      <c r="I113" s="12">
        <v>0</v>
      </c>
      <c r="J113" s="11">
        <v>18188.832299999998</v>
      </c>
      <c r="K113" s="11">
        <v>7445.4884000000002</v>
      </c>
      <c r="L113" s="10" t="s">
        <v>23</v>
      </c>
      <c r="M113" s="5">
        <f t="shared" si="6"/>
        <v>2024</v>
      </c>
      <c r="N113" s="5">
        <f t="shared" si="7"/>
        <v>9</v>
      </c>
      <c r="O113" s="21">
        <f t="shared" si="8"/>
        <v>45536</v>
      </c>
      <c r="P113" s="13">
        <f t="shared" si="9"/>
        <v>0.40934394672493629</v>
      </c>
      <c r="Q113" s="5">
        <f t="shared" si="10"/>
        <v>202409</v>
      </c>
      <c r="R113" s="21">
        <f t="shared" si="11"/>
        <v>45536</v>
      </c>
    </row>
    <row r="114" spans="1:18" x14ac:dyDescent="0.25">
      <c r="A114" s="5" t="s">
        <v>289</v>
      </c>
      <c r="B114" s="14">
        <v>45630</v>
      </c>
      <c r="C114" s="5" t="s">
        <v>290</v>
      </c>
      <c r="D114" s="10" t="s">
        <v>37</v>
      </c>
      <c r="E114" s="10" t="s">
        <v>291</v>
      </c>
      <c r="F114" s="10" t="s">
        <v>22</v>
      </c>
      <c r="G114" s="15">
        <v>2</v>
      </c>
      <c r="H114" s="11">
        <v>3739.7775999999999</v>
      </c>
      <c r="I114" s="12">
        <v>10</v>
      </c>
      <c r="J114" s="11">
        <v>6731.9781999999996</v>
      </c>
      <c r="K114" s="11">
        <v>3382.0762</v>
      </c>
      <c r="L114" s="10" t="s">
        <v>23</v>
      </c>
      <c r="M114" s="5">
        <f t="shared" si="6"/>
        <v>2024</v>
      </c>
      <c r="N114" s="5">
        <f t="shared" si="7"/>
        <v>12</v>
      </c>
      <c r="O114" s="21">
        <f t="shared" si="8"/>
        <v>45627</v>
      </c>
      <c r="P114" s="13">
        <f t="shared" si="9"/>
        <v>0.5023896542029801</v>
      </c>
      <c r="Q114" s="5">
        <f t="shared" si="10"/>
        <v>202412</v>
      </c>
      <c r="R114" s="21">
        <f t="shared" si="11"/>
        <v>45627</v>
      </c>
    </row>
    <row r="115" spans="1:18" x14ac:dyDescent="0.25">
      <c r="A115" s="5" t="s">
        <v>292</v>
      </c>
      <c r="B115" s="14">
        <v>45755</v>
      </c>
      <c r="C115" s="5" t="s">
        <v>117</v>
      </c>
      <c r="D115" s="10" t="s">
        <v>37</v>
      </c>
      <c r="E115" s="10" t="s">
        <v>214</v>
      </c>
      <c r="F115" s="10" t="s">
        <v>49</v>
      </c>
      <c r="G115" s="15">
        <v>1</v>
      </c>
      <c r="H115" s="11">
        <v>5224.5222999999996</v>
      </c>
      <c r="I115" s="12">
        <v>5</v>
      </c>
      <c r="J115" s="11">
        <v>4963.3434999999999</v>
      </c>
      <c r="K115" s="11">
        <v>1658.8639000000001</v>
      </c>
      <c r="L115" s="10" t="s">
        <v>17</v>
      </c>
      <c r="M115" s="5">
        <f t="shared" si="6"/>
        <v>2025</v>
      </c>
      <c r="N115" s="5">
        <f t="shared" si="7"/>
        <v>4</v>
      </c>
      <c r="O115" s="21">
        <f t="shared" si="8"/>
        <v>45748</v>
      </c>
      <c r="P115" s="13">
        <f t="shared" si="9"/>
        <v>0.3342230695900858</v>
      </c>
      <c r="Q115" s="5">
        <f t="shared" si="10"/>
        <v>202504</v>
      </c>
      <c r="R115" s="21">
        <f t="shared" si="11"/>
        <v>45748</v>
      </c>
    </row>
    <row r="116" spans="1:18" x14ac:dyDescent="0.25">
      <c r="A116" s="5" t="s">
        <v>293</v>
      </c>
      <c r="B116" s="14">
        <v>45611</v>
      </c>
      <c r="C116" s="5" t="s">
        <v>294</v>
      </c>
      <c r="D116" s="10" t="s">
        <v>42</v>
      </c>
      <c r="E116" s="10" t="s">
        <v>52</v>
      </c>
      <c r="F116" s="10" t="s">
        <v>39</v>
      </c>
      <c r="G116" s="15">
        <v>2</v>
      </c>
      <c r="H116" s="11">
        <v>7047.0960999999998</v>
      </c>
      <c r="I116" s="12">
        <v>0</v>
      </c>
      <c r="J116" s="11">
        <v>14094.1922</v>
      </c>
      <c r="K116" s="11">
        <v>4987.9472999999998</v>
      </c>
      <c r="L116" s="10" t="s">
        <v>23</v>
      </c>
      <c r="M116" s="5">
        <f t="shared" si="6"/>
        <v>2024</v>
      </c>
      <c r="N116" s="5">
        <f t="shared" si="7"/>
        <v>11</v>
      </c>
      <c r="O116" s="21">
        <f t="shared" si="8"/>
        <v>45597</v>
      </c>
      <c r="P116" s="13">
        <f t="shared" si="9"/>
        <v>0.35390089969115079</v>
      </c>
      <c r="Q116" s="5">
        <f t="shared" si="10"/>
        <v>202411</v>
      </c>
      <c r="R116" s="21">
        <f t="shared" si="11"/>
        <v>45597</v>
      </c>
    </row>
    <row r="117" spans="1:18" x14ac:dyDescent="0.25">
      <c r="A117" s="5" t="s">
        <v>295</v>
      </c>
      <c r="B117" s="14">
        <v>45516</v>
      </c>
      <c r="C117" s="5" t="s">
        <v>296</v>
      </c>
      <c r="D117" s="10" t="s">
        <v>14</v>
      </c>
      <c r="E117" s="10" t="s">
        <v>154</v>
      </c>
      <c r="F117" s="10" t="s">
        <v>39</v>
      </c>
      <c r="G117" s="15">
        <v>2</v>
      </c>
      <c r="H117" s="11">
        <v>5642.7869000000001</v>
      </c>
      <c r="I117" s="12">
        <v>15</v>
      </c>
      <c r="J117" s="11">
        <v>9592.6430999999993</v>
      </c>
      <c r="K117" s="11">
        <v>3083.0453999999995</v>
      </c>
      <c r="L117" s="10" t="s">
        <v>17</v>
      </c>
      <c r="M117" s="5">
        <f t="shared" si="6"/>
        <v>2024</v>
      </c>
      <c r="N117" s="5">
        <f t="shared" si="7"/>
        <v>8</v>
      </c>
      <c r="O117" s="21">
        <f t="shared" si="8"/>
        <v>45505</v>
      </c>
      <c r="P117" s="13">
        <f t="shared" si="9"/>
        <v>0.32139686297721215</v>
      </c>
      <c r="Q117" s="5">
        <f t="shared" si="10"/>
        <v>202408</v>
      </c>
      <c r="R117" s="21">
        <f t="shared" si="11"/>
        <v>45505</v>
      </c>
    </row>
    <row r="118" spans="1:18" x14ac:dyDescent="0.25">
      <c r="A118" s="5" t="s">
        <v>297</v>
      </c>
      <c r="B118" s="14">
        <v>45497</v>
      </c>
      <c r="C118" s="5" t="s">
        <v>298</v>
      </c>
      <c r="D118" s="10" t="s">
        <v>26</v>
      </c>
      <c r="E118" s="10" t="s">
        <v>105</v>
      </c>
      <c r="F118" s="10" t="s">
        <v>39</v>
      </c>
      <c r="G118" s="15">
        <v>4</v>
      </c>
      <c r="H118" s="11">
        <v>6202.0502000000006</v>
      </c>
      <c r="I118" s="12">
        <v>25</v>
      </c>
      <c r="J118" s="11">
        <v>18606.150600000001</v>
      </c>
      <c r="K118" s="11">
        <v>6093.2257</v>
      </c>
      <c r="L118" s="10" t="s">
        <v>34</v>
      </c>
      <c r="M118" s="5">
        <f t="shared" si="6"/>
        <v>2024</v>
      </c>
      <c r="N118" s="5">
        <f t="shared" si="7"/>
        <v>7</v>
      </c>
      <c r="O118" s="21">
        <f t="shared" si="8"/>
        <v>45474</v>
      </c>
      <c r="P118" s="13">
        <f t="shared" si="9"/>
        <v>0.32748448784457329</v>
      </c>
      <c r="Q118" s="5">
        <f t="shared" si="10"/>
        <v>202407</v>
      </c>
      <c r="R118" s="21">
        <f t="shared" si="11"/>
        <v>45474</v>
      </c>
    </row>
    <row r="119" spans="1:18" x14ac:dyDescent="0.25">
      <c r="A119" s="5" t="s">
        <v>299</v>
      </c>
      <c r="B119" s="14">
        <v>45902</v>
      </c>
      <c r="C119" s="5" t="s">
        <v>300</v>
      </c>
      <c r="D119" s="10" t="s">
        <v>20</v>
      </c>
      <c r="E119" s="10" t="s">
        <v>211</v>
      </c>
      <c r="F119" s="10" t="s">
        <v>39</v>
      </c>
      <c r="G119" s="15">
        <v>2</v>
      </c>
      <c r="H119" s="11">
        <v>3447.3708999999999</v>
      </c>
      <c r="I119" s="12">
        <v>0</v>
      </c>
      <c r="J119" s="11">
        <v>6894.7417999999998</v>
      </c>
      <c r="K119" s="11">
        <v>2529.4598999999998</v>
      </c>
      <c r="L119" s="10" t="s">
        <v>23</v>
      </c>
      <c r="M119" s="5">
        <f t="shared" si="6"/>
        <v>2025</v>
      </c>
      <c r="N119" s="5">
        <f t="shared" si="7"/>
        <v>9</v>
      </c>
      <c r="O119" s="21">
        <f t="shared" si="8"/>
        <v>45901</v>
      </c>
      <c r="P119" s="13">
        <f t="shared" si="9"/>
        <v>0.36686796596211912</v>
      </c>
      <c r="Q119" s="5">
        <f t="shared" si="10"/>
        <v>202509</v>
      </c>
      <c r="R119" s="21">
        <f t="shared" si="11"/>
        <v>45901</v>
      </c>
    </row>
    <row r="120" spans="1:18" x14ac:dyDescent="0.25">
      <c r="A120" s="5" t="s">
        <v>301</v>
      </c>
      <c r="B120" s="14">
        <v>45724</v>
      </c>
      <c r="C120" s="5" t="s">
        <v>302</v>
      </c>
      <c r="D120" s="10" t="s">
        <v>42</v>
      </c>
      <c r="E120" s="10" t="s">
        <v>33</v>
      </c>
      <c r="F120" s="10" t="s">
        <v>16</v>
      </c>
      <c r="G120" s="15">
        <v>1</v>
      </c>
      <c r="H120" s="11">
        <v>10800.121899999998</v>
      </c>
      <c r="I120" s="12">
        <v>15</v>
      </c>
      <c r="J120" s="11">
        <v>9180.0563000000002</v>
      </c>
      <c r="K120" s="11">
        <v>773.12709999999993</v>
      </c>
      <c r="L120" s="10" t="s">
        <v>23</v>
      </c>
      <c r="M120" s="5">
        <f t="shared" si="6"/>
        <v>2025</v>
      </c>
      <c r="N120" s="5">
        <f t="shared" si="7"/>
        <v>3</v>
      </c>
      <c r="O120" s="21">
        <f t="shared" si="8"/>
        <v>45717</v>
      </c>
      <c r="P120" s="13">
        <f t="shared" si="9"/>
        <v>8.4218121843108951E-2</v>
      </c>
      <c r="Q120" s="5">
        <f t="shared" si="10"/>
        <v>202503</v>
      </c>
      <c r="R120" s="21">
        <f t="shared" si="11"/>
        <v>45717</v>
      </c>
    </row>
    <row r="121" spans="1:18" x14ac:dyDescent="0.25">
      <c r="A121" s="5" t="s">
        <v>303</v>
      </c>
      <c r="B121" s="14">
        <v>45791</v>
      </c>
      <c r="C121" s="5" t="s">
        <v>304</v>
      </c>
      <c r="D121" s="10" t="s">
        <v>14</v>
      </c>
      <c r="E121" s="10" t="s">
        <v>269</v>
      </c>
      <c r="F121" s="10" t="s">
        <v>75</v>
      </c>
      <c r="G121" s="15">
        <v>3</v>
      </c>
      <c r="H121" s="11">
        <v>2534.1914000000002</v>
      </c>
      <c r="I121" s="12">
        <v>0</v>
      </c>
      <c r="J121" s="11">
        <v>7602.5742</v>
      </c>
      <c r="K121" s="11">
        <v>1198.0157999999999</v>
      </c>
      <c r="L121" s="10" t="s">
        <v>17</v>
      </c>
      <c r="M121" s="5">
        <f t="shared" si="6"/>
        <v>2025</v>
      </c>
      <c r="N121" s="5">
        <f t="shared" si="7"/>
        <v>5</v>
      </c>
      <c r="O121" s="21">
        <f t="shared" si="8"/>
        <v>45778</v>
      </c>
      <c r="P121" s="13">
        <f t="shared" si="9"/>
        <v>0.15758028379387601</v>
      </c>
      <c r="Q121" s="5">
        <f t="shared" si="10"/>
        <v>202505</v>
      </c>
      <c r="R121" s="21">
        <f t="shared" si="11"/>
        <v>45778</v>
      </c>
    </row>
    <row r="122" spans="1:18" x14ac:dyDescent="0.25">
      <c r="A122" s="5" t="s">
        <v>305</v>
      </c>
      <c r="B122" s="14">
        <v>45716</v>
      </c>
      <c r="C122" s="5" t="s">
        <v>306</v>
      </c>
      <c r="D122" s="10" t="s">
        <v>26</v>
      </c>
      <c r="E122" s="10" t="s">
        <v>246</v>
      </c>
      <c r="F122" s="10" t="s">
        <v>75</v>
      </c>
      <c r="G122" s="15">
        <v>4</v>
      </c>
      <c r="H122" s="11">
        <v>5334.2930999999999</v>
      </c>
      <c r="I122" s="12">
        <v>10</v>
      </c>
      <c r="J122" s="11">
        <v>19203.265899999999</v>
      </c>
      <c r="K122" s="11">
        <v>6153.7888999999996</v>
      </c>
      <c r="L122" s="10" t="s">
        <v>34</v>
      </c>
      <c r="M122" s="5">
        <f t="shared" si="6"/>
        <v>2025</v>
      </c>
      <c r="N122" s="5">
        <f t="shared" si="7"/>
        <v>2</v>
      </c>
      <c r="O122" s="21">
        <f t="shared" si="8"/>
        <v>45689</v>
      </c>
      <c r="P122" s="13">
        <f t="shared" si="9"/>
        <v>0.32045532942393928</v>
      </c>
      <c r="Q122" s="5">
        <f t="shared" si="10"/>
        <v>202502</v>
      </c>
      <c r="R122" s="21">
        <f t="shared" si="11"/>
        <v>45689</v>
      </c>
    </row>
    <row r="123" spans="1:18" x14ac:dyDescent="0.25">
      <c r="A123" s="5" t="s">
        <v>307</v>
      </c>
      <c r="B123" s="14">
        <v>45298</v>
      </c>
      <c r="C123" s="5" t="s">
        <v>308</v>
      </c>
      <c r="D123" s="10" t="s">
        <v>42</v>
      </c>
      <c r="E123" s="10" t="s">
        <v>309</v>
      </c>
      <c r="F123" s="10" t="s">
        <v>75</v>
      </c>
      <c r="G123" s="15">
        <v>2</v>
      </c>
      <c r="H123" s="11">
        <v>5633.3238999999994</v>
      </c>
      <c r="I123" s="12">
        <v>5</v>
      </c>
      <c r="J123" s="11">
        <v>10703.5993</v>
      </c>
      <c r="K123" s="11">
        <v>3073.5823999999998</v>
      </c>
      <c r="L123" s="10" t="s">
        <v>17</v>
      </c>
      <c r="M123" s="5">
        <f t="shared" si="6"/>
        <v>2024</v>
      </c>
      <c r="N123" s="5">
        <f t="shared" si="7"/>
        <v>1</v>
      </c>
      <c r="O123" s="21">
        <f t="shared" si="8"/>
        <v>45292</v>
      </c>
      <c r="P123" s="13">
        <f t="shared" si="9"/>
        <v>0.28715409778092121</v>
      </c>
      <c r="Q123" s="5">
        <f t="shared" si="10"/>
        <v>202401</v>
      </c>
      <c r="R123" s="21">
        <f t="shared" si="11"/>
        <v>45292</v>
      </c>
    </row>
    <row r="124" spans="1:18" x14ac:dyDescent="0.25">
      <c r="A124" s="5" t="s">
        <v>310</v>
      </c>
      <c r="B124" s="14">
        <v>45373</v>
      </c>
      <c r="C124" s="5" t="s">
        <v>248</v>
      </c>
      <c r="D124" s="10" t="s">
        <v>37</v>
      </c>
      <c r="E124" s="10" t="s">
        <v>94</v>
      </c>
      <c r="F124" s="10" t="s">
        <v>75</v>
      </c>
      <c r="G124" s="15">
        <v>3</v>
      </c>
      <c r="H124" s="11">
        <v>2556.9025999999999</v>
      </c>
      <c r="I124" s="12">
        <v>5</v>
      </c>
      <c r="J124" s="11">
        <v>7287.4562999999998</v>
      </c>
      <c r="K124" s="11">
        <v>1345.6386</v>
      </c>
      <c r="L124" s="10" t="s">
        <v>17</v>
      </c>
      <c r="M124" s="5">
        <f t="shared" si="6"/>
        <v>2024</v>
      </c>
      <c r="N124" s="5">
        <f t="shared" si="7"/>
        <v>3</v>
      </c>
      <c r="O124" s="21">
        <f t="shared" si="8"/>
        <v>45352</v>
      </c>
      <c r="P124" s="13">
        <f t="shared" si="9"/>
        <v>0.18465134398130115</v>
      </c>
      <c r="Q124" s="5">
        <f t="shared" si="10"/>
        <v>202403</v>
      </c>
      <c r="R124" s="21">
        <f t="shared" si="11"/>
        <v>45352</v>
      </c>
    </row>
    <row r="125" spans="1:18" x14ac:dyDescent="0.25">
      <c r="A125" s="5" t="s">
        <v>311</v>
      </c>
      <c r="B125" s="14">
        <v>45998</v>
      </c>
      <c r="C125" s="5" t="s">
        <v>312</v>
      </c>
      <c r="D125" s="10" t="s">
        <v>42</v>
      </c>
      <c r="E125" s="10" t="s">
        <v>154</v>
      </c>
      <c r="F125" s="10" t="s">
        <v>39</v>
      </c>
      <c r="G125" s="15">
        <v>2</v>
      </c>
      <c r="H125" s="11">
        <v>1853.8017</v>
      </c>
      <c r="I125" s="12">
        <v>10</v>
      </c>
      <c r="J125" s="11">
        <v>3336.6537999999996</v>
      </c>
      <c r="K125" s="11">
        <v>819.49579999999992</v>
      </c>
      <c r="L125" s="10" t="s">
        <v>23</v>
      </c>
      <c r="M125" s="5">
        <f t="shared" si="6"/>
        <v>2025</v>
      </c>
      <c r="N125" s="5">
        <f t="shared" si="7"/>
        <v>12</v>
      </c>
      <c r="O125" s="21">
        <f t="shared" si="8"/>
        <v>45992</v>
      </c>
      <c r="P125" s="13">
        <f t="shared" si="9"/>
        <v>0.24560408394781622</v>
      </c>
      <c r="Q125" s="5">
        <f t="shared" si="10"/>
        <v>202512</v>
      </c>
      <c r="R125" s="21">
        <f t="shared" si="11"/>
        <v>45992</v>
      </c>
    </row>
    <row r="126" spans="1:18" x14ac:dyDescent="0.25">
      <c r="A126" s="5" t="s">
        <v>313</v>
      </c>
      <c r="B126" s="14">
        <v>45360</v>
      </c>
      <c r="C126" s="5" t="s">
        <v>25</v>
      </c>
      <c r="D126" s="10" t="s">
        <v>20</v>
      </c>
      <c r="E126" s="10" t="s">
        <v>314</v>
      </c>
      <c r="F126" s="10" t="s">
        <v>16</v>
      </c>
      <c r="G126" s="15">
        <v>2</v>
      </c>
      <c r="H126" s="11">
        <v>2137.6916999999999</v>
      </c>
      <c r="I126" s="12">
        <v>10</v>
      </c>
      <c r="J126" s="11">
        <v>3847.6557999999995</v>
      </c>
      <c r="K126" s="11">
        <v>520.46499999999992</v>
      </c>
      <c r="L126" s="10" t="s">
        <v>23</v>
      </c>
      <c r="M126" s="5">
        <f t="shared" si="6"/>
        <v>2024</v>
      </c>
      <c r="N126" s="5">
        <f t="shared" si="7"/>
        <v>3</v>
      </c>
      <c r="O126" s="21">
        <f t="shared" si="8"/>
        <v>45352</v>
      </c>
      <c r="P126" s="13">
        <f t="shared" si="9"/>
        <v>0.1352680767338908</v>
      </c>
      <c r="Q126" s="5">
        <f t="shared" si="10"/>
        <v>202403</v>
      </c>
      <c r="R126" s="21">
        <f t="shared" si="11"/>
        <v>45352</v>
      </c>
    </row>
    <row r="127" spans="1:18" x14ac:dyDescent="0.25">
      <c r="A127" s="5" t="s">
        <v>315</v>
      </c>
      <c r="B127" s="14">
        <v>45361</v>
      </c>
      <c r="C127" s="5" t="s">
        <v>316</v>
      </c>
      <c r="D127" s="10" t="s">
        <v>37</v>
      </c>
      <c r="E127" s="10" t="s">
        <v>83</v>
      </c>
      <c r="F127" s="10" t="s">
        <v>22</v>
      </c>
      <c r="G127" s="15">
        <v>1</v>
      </c>
      <c r="H127" s="11">
        <v>2381.8371000000002</v>
      </c>
      <c r="I127" s="12">
        <v>15</v>
      </c>
      <c r="J127" s="11">
        <v>2024.1357</v>
      </c>
      <c r="K127" s="11">
        <v>1004.0242999999999</v>
      </c>
      <c r="L127" s="10" t="s">
        <v>17</v>
      </c>
      <c r="M127" s="5">
        <f t="shared" si="6"/>
        <v>2024</v>
      </c>
      <c r="N127" s="5">
        <f t="shared" si="7"/>
        <v>3</v>
      </c>
      <c r="O127" s="21">
        <f t="shared" si="8"/>
        <v>45352</v>
      </c>
      <c r="P127" s="13">
        <f t="shared" si="9"/>
        <v>0.49602618045815799</v>
      </c>
      <c r="Q127" s="5">
        <f t="shared" si="10"/>
        <v>202403</v>
      </c>
      <c r="R127" s="21">
        <f t="shared" si="11"/>
        <v>45352</v>
      </c>
    </row>
    <row r="128" spans="1:18" x14ac:dyDescent="0.25">
      <c r="A128" s="5" t="s">
        <v>317</v>
      </c>
      <c r="B128" s="14">
        <v>45941</v>
      </c>
      <c r="C128" s="5" t="s">
        <v>318</v>
      </c>
      <c r="D128" s="10" t="s">
        <v>42</v>
      </c>
      <c r="E128" s="10" t="s">
        <v>177</v>
      </c>
      <c r="F128" s="10" t="s">
        <v>49</v>
      </c>
      <c r="G128" s="15">
        <v>1</v>
      </c>
      <c r="H128" s="11">
        <v>8476.9553999999989</v>
      </c>
      <c r="I128" s="12">
        <v>5</v>
      </c>
      <c r="J128" s="11">
        <v>8053.012999999999</v>
      </c>
      <c r="K128" s="11">
        <v>3471.0283999999997</v>
      </c>
      <c r="L128" s="10" t="s">
        <v>17</v>
      </c>
      <c r="M128" s="5">
        <f t="shared" si="6"/>
        <v>2025</v>
      </c>
      <c r="N128" s="5">
        <f t="shared" si="7"/>
        <v>10</v>
      </c>
      <c r="O128" s="21">
        <f t="shared" si="8"/>
        <v>45931</v>
      </c>
      <c r="P128" s="13">
        <f t="shared" si="9"/>
        <v>0.43102232667450058</v>
      </c>
      <c r="Q128" s="5">
        <f t="shared" si="10"/>
        <v>202510</v>
      </c>
      <c r="R128" s="21">
        <f t="shared" si="11"/>
        <v>45931</v>
      </c>
    </row>
    <row r="129" spans="1:18" x14ac:dyDescent="0.25">
      <c r="A129" s="5" t="s">
        <v>319</v>
      </c>
      <c r="B129" s="14">
        <v>45551</v>
      </c>
      <c r="C129" s="5" t="s">
        <v>320</v>
      </c>
      <c r="D129" s="10" t="s">
        <v>42</v>
      </c>
      <c r="E129" s="10" t="s">
        <v>133</v>
      </c>
      <c r="F129" s="10" t="s">
        <v>75</v>
      </c>
      <c r="G129" s="15">
        <v>2</v>
      </c>
      <c r="H129" s="11">
        <v>3908.2189999999996</v>
      </c>
      <c r="I129" s="12">
        <v>15</v>
      </c>
      <c r="J129" s="11">
        <v>6643.9722999999994</v>
      </c>
      <c r="K129" s="11">
        <v>1057.9633999999999</v>
      </c>
      <c r="L129" s="10" t="s">
        <v>23</v>
      </c>
      <c r="M129" s="5">
        <f t="shared" si="6"/>
        <v>2024</v>
      </c>
      <c r="N129" s="5">
        <f t="shared" si="7"/>
        <v>9</v>
      </c>
      <c r="O129" s="21">
        <f t="shared" si="8"/>
        <v>45536</v>
      </c>
      <c r="P129" s="13">
        <f t="shared" si="9"/>
        <v>0.15923657598632673</v>
      </c>
      <c r="Q129" s="5">
        <f t="shared" si="10"/>
        <v>202409</v>
      </c>
      <c r="R129" s="21">
        <f t="shared" si="11"/>
        <v>45536</v>
      </c>
    </row>
    <row r="130" spans="1:18" x14ac:dyDescent="0.25">
      <c r="A130" s="5" t="s">
        <v>321</v>
      </c>
      <c r="B130" s="14">
        <v>45409</v>
      </c>
      <c r="C130" s="5" t="s">
        <v>322</v>
      </c>
      <c r="D130" s="10" t="s">
        <v>20</v>
      </c>
      <c r="E130" s="10" t="s">
        <v>187</v>
      </c>
      <c r="F130" s="10" t="s">
        <v>75</v>
      </c>
      <c r="G130" s="15">
        <v>2</v>
      </c>
      <c r="H130" s="11">
        <v>1066.4801</v>
      </c>
      <c r="I130" s="12">
        <v>0</v>
      </c>
      <c r="J130" s="11">
        <v>2132.9602</v>
      </c>
      <c r="K130" s="11">
        <v>564.94110000000001</v>
      </c>
      <c r="L130" s="10" t="s">
        <v>17</v>
      </c>
      <c r="M130" s="5">
        <f t="shared" ref="M130:M193" si="12">YEAR(B130)</f>
        <v>2024</v>
      </c>
      <c r="N130" s="5">
        <f t="shared" ref="N130:N193" si="13">MONTH(B130)</f>
        <v>4</v>
      </c>
      <c r="O130" s="21">
        <f t="shared" ref="O130:O193" si="14">DATE(YEAR(B130),MONTH(B130),1)</f>
        <v>45383</v>
      </c>
      <c r="P130" s="13">
        <f t="shared" ref="P130:P193" si="15">(K130/J130)</f>
        <v>0.26486246672582076</v>
      </c>
      <c r="Q130" s="5">
        <f t="shared" ref="Q130:Q193" si="16">YEAR(B130)*100+MONTH(B130)</f>
        <v>202404</v>
      </c>
      <c r="R130" s="21">
        <f t="shared" ref="R130:R193" si="17">DATE(YEAR(B130),MONTH(B130),1)</f>
        <v>45383</v>
      </c>
    </row>
    <row r="131" spans="1:18" x14ac:dyDescent="0.25">
      <c r="A131" s="5" t="s">
        <v>323</v>
      </c>
      <c r="B131" s="14">
        <v>45925</v>
      </c>
      <c r="C131" s="5" t="s">
        <v>306</v>
      </c>
      <c r="D131" s="10" t="s">
        <v>14</v>
      </c>
      <c r="E131" s="10" t="s">
        <v>324</v>
      </c>
      <c r="F131" s="10" t="s">
        <v>16</v>
      </c>
      <c r="G131" s="15">
        <v>3</v>
      </c>
      <c r="H131" s="11">
        <v>13956.9787</v>
      </c>
      <c r="I131" s="12">
        <v>15</v>
      </c>
      <c r="J131" s="11">
        <v>35590.343000000001</v>
      </c>
      <c r="K131" s="11">
        <v>8880.0792000000001</v>
      </c>
      <c r="L131" s="10" t="s">
        <v>23</v>
      </c>
      <c r="M131" s="5">
        <f t="shared" si="12"/>
        <v>2025</v>
      </c>
      <c r="N131" s="5">
        <f t="shared" si="13"/>
        <v>9</v>
      </c>
      <c r="O131" s="21">
        <f t="shared" si="14"/>
        <v>45901</v>
      </c>
      <c r="P131" s="13">
        <f t="shared" si="15"/>
        <v>0.24950810954533367</v>
      </c>
      <c r="Q131" s="5">
        <f t="shared" si="16"/>
        <v>202509</v>
      </c>
      <c r="R131" s="21">
        <f t="shared" si="17"/>
        <v>45901</v>
      </c>
    </row>
    <row r="132" spans="1:18" x14ac:dyDescent="0.25">
      <c r="A132" s="5" t="s">
        <v>325</v>
      </c>
      <c r="B132" s="14">
        <v>45734</v>
      </c>
      <c r="C132" s="5" t="s">
        <v>326</v>
      </c>
      <c r="D132" s="10" t="s">
        <v>42</v>
      </c>
      <c r="E132" s="10" t="s">
        <v>88</v>
      </c>
      <c r="F132" s="10" t="s">
        <v>22</v>
      </c>
      <c r="G132" s="15">
        <v>3</v>
      </c>
      <c r="H132" s="11">
        <v>3031.9451999999997</v>
      </c>
      <c r="I132" s="12">
        <v>25</v>
      </c>
      <c r="J132" s="11">
        <v>6821.8766999999998</v>
      </c>
      <c r="K132" s="11">
        <v>3977.2988999999998</v>
      </c>
      <c r="L132" s="10" t="s">
        <v>17</v>
      </c>
      <c r="M132" s="5">
        <f t="shared" si="12"/>
        <v>2025</v>
      </c>
      <c r="N132" s="5">
        <f t="shared" si="13"/>
        <v>3</v>
      </c>
      <c r="O132" s="21">
        <f t="shared" si="14"/>
        <v>45717</v>
      </c>
      <c r="P132" s="13">
        <f t="shared" si="15"/>
        <v>0.58302122347066165</v>
      </c>
      <c r="Q132" s="5">
        <f t="shared" si="16"/>
        <v>202503</v>
      </c>
      <c r="R132" s="21">
        <f t="shared" si="17"/>
        <v>45717</v>
      </c>
    </row>
    <row r="133" spans="1:18" x14ac:dyDescent="0.25">
      <c r="A133" s="5" t="s">
        <v>327</v>
      </c>
      <c r="B133" s="14">
        <v>46000</v>
      </c>
      <c r="C133" s="5" t="s">
        <v>328</v>
      </c>
      <c r="D133" s="10" t="s">
        <v>14</v>
      </c>
      <c r="E133" s="10" t="s">
        <v>291</v>
      </c>
      <c r="F133" s="10" t="s">
        <v>22</v>
      </c>
      <c r="G133" s="15">
        <v>1</v>
      </c>
      <c r="H133" s="11">
        <v>3656.5031999999997</v>
      </c>
      <c r="I133" s="12">
        <v>10</v>
      </c>
      <c r="J133" s="11">
        <v>3291.2314000000001</v>
      </c>
      <c r="K133" s="11">
        <v>1885.9758999999999</v>
      </c>
      <c r="L133" s="10" t="s">
        <v>34</v>
      </c>
      <c r="M133" s="5">
        <f t="shared" si="12"/>
        <v>2025</v>
      </c>
      <c r="N133" s="5">
        <f t="shared" si="13"/>
        <v>12</v>
      </c>
      <c r="O133" s="21">
        <f t="shared" si="14"/>
        <v>45992</v>
      </c>
      <c r="P133" s="13">
        <f t="shared" si="15"/>
        <v>0.57303047728579637</v>
      </c>
      <c r="Q133" s="5">
        <f t="shared" si="16"/>
        <v>202512</v>
      </c>
      <c r="R133" s="21">
        <f t="shared" si="17"/>
        <v>45992</v>
      </c>
    </row>
    <row r="134" spans="1:18" x14ac:dyDescent="0.25">
      <c r="A134" s="5" t="s">
        <v>329</v>
      </c>
      <c r="B134" s="14">
        <v>45367</v>
      </c>
      <c r="C134" s="5" t="s">
        <v>330</v>
      </c>
      <c r="D134" s="10" t="s">
        <v>26</v>
      </c>
      <c r="E134" s="10" t="s">
        <v>151</v>
      </c>
      <c r="F134" s="10" t="s">
        <v>39</v>
      </c>
      <c r="G134" s="15">
        <v>3</v>
      </c>
      <c r="H134" s="11">
        <v>7004.5125999999991</v>
      </c>
      <c r="I134" s="12">
        <v>0</v>
      </c>
      <c r="J134" s="11">
        <v>21013.537799999998</v>
      </c>
      <c r="K134" s="11">
        <v>8329.3325999999997</v>
      </c>
      <c r="L134" s="10" t="s">
        <v>23</v>
      </c>
      <c r="M134" s="5">
        <f t="shared" si="12"/>
        <v>2024</v>
      </c>
      <c r="N134" s="5">
        <f t="shared" si="13"/>
        <v>3</v>
      </c>
      <c r="O134" s="21">
        <f t="shared" si="14"/>
        <v>45352</v>
      </c>
      <c r="P134" s="13">
        <f t="shared" si="15"/>
        <v>0.39637935693055931</v>
      </c>
      <c r="Q134" s="5">
        <f t="shared" si="16"/>
        <v>202403</v>
      </c>
      <c r="R134" s="21">
        <f t="shared" si="17"/>
        <v>45352</v>
      </c>
    </row>
    <row r="135" spans="1:18" x14ac:dyDescent="0.25">
      <c r="A135" s="5" t="s">
        <v>331</v>
      </c>
      <c r="B135" s="14">
        <v>45358</v>
      </c>
      <c r="C135" s="5" t="s">
        <v>332</v>
      </c>
      <c r="D135" s="10" t="s">
        <v>14</v>
      </c>
      <c r="E135" s="10" t="s">
        <v>74</v>
      </c>
      <c r="F135" s="10" t="s">
        <v>75</v>
      </c>
      <c r="G135" s="15">
        <v>3</v>
      </c>
      <c r="H135" s="11">
        <v>1857.5868999999998</v>
      </c>
      <c r="I135" s="12">
        <v>5</v>
      </c>
      <c r="J135" s="11">
        <v>5294.5484999999999</v>
      </c>
      <c r="K135" s="11">
        <v>1749.7086999999997</v>
      </c>
      <c r="L135" s="10" t="s">
        <v>34</v>
      </c>
      <c r="M135" s="5">
        <f t="shared" si="12"/>
        <v>2024</v>
      </c>
      <c r="N135" s="5">
        <f t="shared" si="13"/>
        <v>3</v>
      </c>
      <c r="O135" s="21">
        <f t="shared" si="14"/>
        <v>45352</v>
      </c>
      <c r="P135" s="13">
        <f t="shared" si="15"/>
        <v>0.33047363717604999</v>
      </c>
      <c r="Q135" s="5">
        <f t="shared" si="16"/>
        <v>202403</v>
      </c>
      <c r="R135" s="21">
        <f t="shared" si="17"/>
        <v>45352</v>
      </c>
    </row>
    <row r="136" spans="1:18" x14ac:dyDescent="0.25">
      <c r="A136" s="5" t="s">
        <v>333</v>
      </c>
      <c r="B136" s="14">
        <v>45365</v>
      </c>
      <c r="C136" s="5" t="s">
        <v>334</v>
      </c>
      <c r="D136" s="10" t="s">
        <v>26</v>
      </c>
      <c r="E136" s="10" t="s">
        <v>83</v>
      </c>
      <c r="F136" s="10" t="s">
        <v>22</v>
      </c>
      <c r="G136" s="15">
        <v>3</v>
      </c>
      <c r="H136" s="11">
        <v>3748.2942999999996</v>
      </c>
      <c r="I136" s="12">
        <v>10</v>
      </c>
      <c r="J136" s="11">
        <v>10120.6785</v>
      </c>
      <c r="K136" s="11">
        <v>4631.1921999999995</v>
      </c>
      <c r="L136" s="10" t="s">
        <v>17</v>
      </c>
      <c r="M136" s="5">
        <f t="shared" si="12"/>
        <v>2024</v>
      </c>
      <c r="N136" s="5">
        <f t="shared" si="13"/>
        <v>3</v>
      </c>
      <c r="O136" s="21">
        <f t="shared" si="14"/>
        <v>45352</v>
      </c>
      <c r="P136" s="13">
        <f t="shared" si="15"/>
        <v>0.45759700794763902</v>
      </c>
      <c r="Q136" s="5">
        <f t="shared" si="16"/>
        <v>202403</v>
      </c>
      <c r="R136" s="21">
        <f t="shared" si="17"/>
        <v>45352</v>
      </c>
    </row>
    <row r="137" spans="1:18" x14ac:dyDescent="0.25">
      <c r="A137" s="5" t="s">
        <v>335</v>
      </c>
      <c r="B137" s="14">
        <v>45655</v>
      </c>
      <c r="C137" s="5" t="s">
        <v>336</v>
      </c>
      <c r="D137" s="10" t="s">
        <v>26</v>
      </c>
      <c r="E137" s="10" t="s">
        <v>21</v>
      </c>
      <c r="F137" s="10" t="s">
        <v>22</v>
      </c>
      <c r="G137" s="15">
        <v>2</v>
      </c>
      <c r="H137" s="11">
        <v>4533.7232999999997</v>
      </c>
      <c r="I137" s="12">
        <v>0</v>
      </c>
      <c r="J137" s="11">
        <v>9067.4465999999993</v>
      </c>
      <c r="K137" s="11">
        <v>4340.6780999999992</v>
      </c>
      <c r="L137" s="10" t="s">
        <v>17</v>
      </c>
      <c r="M137" s="5">
        <f t="shared" si="12"/>
        <v>2024</v>
      </c>
      <c r="N137" s="5">
        <f t="shared" si="13"/>
        <v>12</v>
      </c>
      <c r="O137" s="21">
        <f t="shared" si="14"/>
        <v>45627</v>
      </c>
      <c r="P137" s="13">
        <f t="shared" si="15"/>
        <v>0.47871008140262988</v>
      </c>
      <c r="Q137" s="5">
        <f t="shared" si="16"/>
        <v>202412</v>
      </c>
      <c r="R137" s="21">
        <f t="shared" si="17"/>
        <v>45627</v>
      </c>
    </row>
    <row r="138" spans="1:18" x14ac:dyDescent="0.25">
      <c r="A138" s="5" t="s">
        <v>337</v>
      </c>
      <c r="B138" s="14">
        <v>45644</v>
      </c>
      <c r="C138" s="5" t="s">
        <v>338</v>
      </c>
      <c r="D138" s="10" t="s">
        <v>42</v>
      </c>
      <c r="E138" s="10" t="s">
        <v>214</v>
      </c>
      <c r="F138" s="10" t="s">
        <v>49</v>
      </c>
      <c r="G138" s="15">
        <v>1</v>
      </c>
      <c r="H138" s="11">
        <v>4785.4390999999996</v>
      </c>
      <c r="I138" s="12">
        <v>5</v>
      </c>
      <c r="J138" s="11">
        <v>4546.0252</v>
      </c>
      <c r="K138" s="11">
        <v>1460.1408999999999</v>
      </c>
      <c r="L138" s="10" t="s">
        <v>23</v>
      </c>
      <c r="M138" s="5">
        <f t="shared" si="12"/>
        <v>2024</v>
      </c>
      <c r="N138" s="5">
        <f t="shared" si="13"/>
        <v>12</v>
      </c>
      <c r="O138" s="21">
        <f t="shared" si="14"/>
        <v>45627</v>
      </c>
      <c r="P138" s="13">
        <f t="shared" si="15"/>
        <v>0.32119067443796834</v>
      </c>
      <c r="Q138" s="5">
        <f t="shared" si="16"/>
        <v>202412</v>
      </c>
      <c r="R138" s="21">
        <f t="shared" si="17"/>
        <v>45627</v>
      </c>
    </row>
    <row r="139" spans="1:18" x14ac:dyDescent="0.25">
      <c r="A139" s="5" t="s">
        <v>339</v>
      </c>
      <c r="B139" s="14">
        <v>45896</v>
      </c>
      <c r="C139" s="5" t="s">
        <v>340</v>
      </c>
      <c r="D139" s="10" t="s">
        <v>37</v>
      </c>
      <c r="E139" s="10" t="s">
        <v>88</v>
      </c>
      <c r="F139" s="10" t="s">
        <v>22</v>
      </c>
      <c r="G139" s="15">
        <v>2</v>
      </c>
      <c r="H139" s="11">
        <v>1079.7283</v>
      </c>
      <c r="I139" s="12">
        <v>20</v>
      </c>
      <c r="J139" s="11">
        <v>1727.9438</v>
      </c>
      <c r="K139" s="11">
        <v>1007.8095</v>
      </c>
      <c r="L139" s="10" t="s">
        <v>23</v>
      </c>
      <c r="M139" s="5">
        <f t="shared" si="12"/>
        <v>2025</v>
      </c>
      <c r="N139" s="5">
        <f t="shared" si="13"/>
        <v>8</v>
      </c>
      <c r="O139" s="21">
        <f t="shared" si="14"/>
        <v>45870</v>
      </c>
      <c r="P139" s="13">
        <f t="shared" si="15"/>
        <v>0.58324205914567362</v>
      </c>
      <c r="Q139" s="5">
        <f t="shared" si="16"/>
        <v>202508</v>
      </c>
      <c r="R139" s="21">
        <f t="shared" si="17"/>
        <v>45870</v>
      </c>
    </row>
    <row r="140" spans="1:18" x14ac:dyDescent="0.25">
      <c r="A140" s="5" t="s">
        <v>341</v>
      </c>
      <c r="B140" s="14">
        <v>45690</v>
      </c>
      <c r="C140" s="5" t="s">
        <v>342</v>
      </c>
      <c r="D140" s="10" t="s">
        <v>14</v>
      </c>
      <c r="E140" s="10" t="s">
        <v>52</v>
      </c>
      <c r="F140" s="10" t="s">
        <v>39</v>
      </c>
      <c r="G140" s="15">
        <v>2</v>
      </c>
      <c r="H140" s="11">
        <v>6151.8963000000003</v>
      </c>
      <c r="I140" s="12">
        <v>5</v>
      </c>
      <c r="J140" s="11">
        <v>11688.6976</v>
      </c>
      <c r="K140" s="11">
        <v>4076.6603999999998</v>
      </c>
      <c r="L140" s="10" t="s">
        <v>17</v>
      </c>
      <c r="M140" s="5">
        <f t="shared" si="12"/>
        <v>2025</v>
      </c>
      <c r="N140" s="5">
        <f t="shared" si="13"/>
        <v>2</v>
      </c>
      <c r="O140" s="21">
        <f t="shared" si="14"/>
        <v>45689</v>
      </c>
      <c r="P140" s="13">
        <f t="shared" si="15"/>
        <v>0.34876943005181349</v>
      </c>
      <c r="Q140" s="5">
        <f t="shared" si="16"/>
        <v>202502</v>
      </c>
      <c r="R140" s="21">
        <f t="shared" si="17"/>
        <v>45689</v>
      </c>
    </row>
    <row r="141" spans="1:18" x14ac:dyDescent="0.25">
      <c r="A141" s="5" t="s">
        <v>343</v>
      </c>
      <c r="B141" s="14">
        <v>45422</v>
      </c>
      <c r="C141" s="5" t="s">
        <v>344</v>
      </c>
      <c r="D141" s="10" t="s">
        <v>37</v>
      </c>
      <c r="E141" s="10" t="s">
        <v>52</v>
      </c>
      <c r="F141" s="10" t="s">
        <v>39</v>
      </c>
      <c r="G141" s="15">
        <v>1</v>
      </c>
      <c r="H141" s="11">
        <v>2041.1690999999998</v>
      </c>
      <c r="I141" s="12">
        <v>10</v>
      </c>
      <c r="J141" s="11">
        <v>1836.7683</v>
      </c>
      <c r="K141" s="11">
        <v>411.64049999999997</v>
      </c>
      <c r="L141" s="10" t="s">
        <v>23</v>
      </c>
      <c r="M141" s="5">
        <f t="shared" si="12"/>
        <v>2024</v>
      </c>
      <c r="N141" s="5">
        <f t="shared" si="13"/>
        <v>5</v>
      </c>
      <c r="O141" s="21">
        <f t="shared" si="14"/>
        <v>45413</v>
      </c>
      <c r="P141" s="13">
        <f t="shared" si="15"/>
        <v>0.22411128284389489</v>
      </c>
      <c r="Q141" s="5">
        <f t="shared" si="16"/>
        <v>202405</v>
      </c>
      <c r="R141" s="21">
        <f t="shared" si="17"/>
        <v>45413</v>
      </c>
    </row>
    <row r="142" spans="1:18" x14ac:dyDescent="0.25">
      <c r="A142" s="5" t="s">
        <v>345</v>
      </c>
      <c r="B142" s="14">
        <v>45562</v>
      </c>
      <c r="C142" s="5" t="s">
        <v>346</v>
      </c>
      <c r="D142" s="10" t="s">
        <v>14</v>
      </c>
      <c r="E142" s="10" t="s">
        <v>38</v>
      </c>
      <c r="F142" s="10" t="s">
        <v>39</v>
      </c>
      <c r="G142" s="15">
        <v>4</v>
      </c>
      <c r="H142" s="11">
        <v>5937.0861999999997</v>
      </c>
      <c r="I142" s="12">
        <v>15</v>
      </c>
      <c r="J142" s="11">
        <v>20186.471599999997</v>
      </c>
      <c r="K142" s="11">
        <v>6049.6958999999997</v>
      </c>
      <c r="L142" s="10" t="s">
        <v>17</v>
      </c>
      <c r="M142" s="5">
        <f t="shared" si="12"/>
        <v>2024</v>
      </c>
      <c r="N142" s="5">
        <f t="shared" si="13"/>
        <v>9</v>
      </c>
      <c r="O142" s="21">
        <f t="shared" si="14"/>
        <v>45536</v>
      </c>
      <c r="P142" s="13">
        <f t="shared" si="15"/>
        <v>0.29969060566285394</v>
      </c>
      <c r="Q142" s="5">
        <f t="shared" si="16"/>
        <v>202409</v>
      </c>
      <c r="R142" s="21">
        <f t="shared" si="17"/>
        <v>45536</v>
      </c>
    </row>
    <row r="143" spans="1:18" x14ac:dyDescent="0.25">
      <c r="A143" s="5" t="s">
        <v>347</v>
      </c>
      <c r="B143" s="14">
        <v>45852</v>
      </c>
      <c r="C143" s="5" t="s">
        <v>219</v>
      </c>
      <c r="D143" s="10" t="s">
        <v>20</v>
      </c>
      <c r="E143" s="10" t="s">
        <v>151</v>
      </c>
      <c r="F143" s="10" t="s">
        <v>39</v>
      </c>
      <c r="G143" s="15">
        <v>1</v>
      </c>
      <c r="H143" s="11">
        <v>2142.4231999999997</v>
      </c>
      <c r="I143" s="12">
        <v>0</v>
      </c>
      <c r="J143" s="11">
        <v>2142.4231999999997</v>
      </c>
      <c r="K143" s="11">
        <v>793.94569999999999</v>
      </c>
      <c r="L143" s="10" t="s">
        <v>17</v>
      </c>
      <c r="M143" s="5">
        <f t="shared" si="12"/>
        <v>2025</v>
      </c>
      <c r="N143" s="5">
        <f t="shared" si="13"/>
        <v>7</v>
      </c>
      <c r="O143" s="21">
        <f t="shared" si="14"/>
        <v>45839</v>
      </c>
      <c r="P143" s="13">
        <f t="shared" si="15"/>
        <v>0.37058303886925797</v>
      </c>
      <c r="Q143" s="5">
        <f t="shared" si="16"/>
        <v>202507</v>
      </c>
      <c r="R143" s="21">
        <f t="shared" si="17"/>
        <v>45839</v>
      </c>
    </row>
    <row r="144" spans="1:18" x14ac:dyDescent="0.25">
      <c r="A144" s="5" t="s">
        <v>348</v>
      </c>
      <c r="B144" s="14">
        <v>45598</v>
      </c>
      <c r="C144" s="5" t="s">
        <v>349</v>
      </c>
      <c r="D144" s="10" t="s">
        <v>20</v>
      </c>
      <c r="E144" s="10" t="s">
        <v>253</v>
      </c>
      <c r="F144" s="10" t="s">
        <v>49</v>
      </c>
      <c r="G144" s="15">
        <v>1</v>
      </c>
      <c r="H144" s="11">
        <v>2006.1559999999999</v>
      </c>
      <c r="I144" s="12">
        <v>0</v>
      </c>
      <c r="J144" s="11">
        <v>2006.1559999999999</v>
      </c>
      <c r="K144" s="11">
        <v>644.43029999999999</v>
      </c>
      <c r="L144" s="10" t="s">
        <v>17</v>
      </c>
      <c r="M144" s="5">
        <f t="shared" si="12"/>
        <v>2024</v>
      </c>
      <c r="N144" s="5">
        <f t="shared" si="13"/>
        <v>11</v>
      </c>
      <c r="O144" s="21">
        <f t="shared" si="14"/>
        <v>45597</v>
      </c>
      <c r="P144" s="13">
        <f t="shared" si="15"/>
        <v>0.32122641509433963</v>
      </c>
      <c r="Q144" s="5">
        <f t="shared" si="16"/>
        <v>202411</v>
      </c>
      <c r="R144" s="21">
        <f t="shared" si="17"/>
        <v>45597</v>
      </c>
    </row>
    <row r="145" spans="1:18" x14ac:dyDescent="0.25">
      <c r="A145" s="5" t="s">
        <v>350</v>
      </c>
      <c r="B145" s="14">
        <v>45377</v>
      </c>
      <c r="C145" s="5" t="s">
        <v>351</v>
      </c>
      <c r="D145" s="10" t="s">
        <v>14</v>
      </c>
      <c r="E145" s="10" t="s">
        <v>253</v>
      </c>
      <c r="F145" s="10" t="s">
        <v>49</v>
      </c>
      <c r="G145" s="15">
        <v>2</v>
      </c>
      <c r="H145" s="11">
        <v>2823.7592</v>
      </c>
      <c r="I145" s="12">
        <v>25</v>
      </c>
      <c r="J145" s="11">
        <v>4235.6387999999997</v>
      </c>
      <c r="K145" s="11">
        <v>1304.9476999999999</v>
      </c>
      <c r="L145" s="10" t="s">
        <v>23</v>
      </c>
      <c r="M145" s="5">
        <f t="shared" si="12"/>
        <v>2024</v>
      </c>
      <c r="N145" s="5">
        <f t="shared" si="13"/>
        <v>3</v>
      </c>
      <c r="O145" s="21">
        <f t="shared" si="14"/>
        <v>45352</v>
      </c>
      <c r="P145" s="13">
        <f t="shared" si="15"/>
        <v>0.3080875781948168</v>
      </c>
      <c r="Q145" s="5">
        <f t="shared" si="16"/>
        <v>202403</v>
      </c>
      <c r="R145" s="21">
        <f t="shared" si="17"/>
        <v>45352</v>
      </c>
    </row>
    <row r="146" spans="1:18" x14ac:dyDescent="0.25">
      <c r="A146" s="5" t="s">
        <v>352</v>
      </c>
      <c r="B146" s="14">
        <v>45789</v>
      </c>
      <c r="C146" s="5" t="s">
        <v>353</v>
      </c>
      <c r="D146" s="10" t="s">
        <v>37</v>
      </c>
      <c r="E146" s="10" t="s">
        <v>211</v>
      </c>
      <c r="F146" s="10" t="s">
        <v>39</v>
      </c>
      <c r="G146" s="15">
        <v>1</v>
      </c>
      <c r="H146" s="11">
        <v>2895.6779999999999</v>
      </c>
      <c r="I146" s="12">
        <v>5</v>
      </c>
      <c r="J146" s="11">
        <v>2750.8941</v>
      </c>
      <c r="K146" s="11">
        <v>885.7367999999999</v>
      </c>
      <c r="L146" s="10" t="s">
        <v>23</v>
      </c>
      <c r="M146" s="5">
        <f t="shared" si="12"/>
        <v>2025</v>
      </c>
      <c r="N146" s="5">
        <f t="shared" si="13"/>
        <v>5</v>
      </c>
      <c r="O146" s="21">
        <f t="shared" si="14"/>
        <v>45778</v>
      </c>
      <c r="P146" s="13">
        <f t="shared" si="15"/>
        <v>0.32198142414860675</v>
      </c>
      <c r="Q146" s="5">
        <f t="shared" si="16"/>
        <v>202505</v>
      </c>
      <c r="R146" s="21">
        <f t="shared" si="17"/>
        <v>45778</v>
      </c>
    </row>
    <row r="147" spans="1:18" x14ac:dyDescent="0.25">
      <c r="A147" s="5" t="s">
        <v>354</v>
      </c>
      <c r="B147" s="14">
        <v>45959</v>
      </c>
      <c r="C147" s="5" t="s">
        <v>355</v>
      </c>
      <c r="D147" s="10" t="s">
        <v>20</v>
      </c>
      <c r="E147" s="10" t="s">
        <v>208</v>
      </c>
      <c r="F147" s="10" t="s">
        <v>22</v>
      </c>
      <c r="G147" s="15">
        <v>1</v>
      </c>
      <c r="H147" s="11">
        <v>4657.6885999999995</v>
      </c>
      <c r="I147" s="12">
        <v>15</v>
      </c>
      <c r="J147" s="11">
        <v>3959.3191999999999</v>
      </c>
      <c r="K147" s="11">
        <v>2254.0866000000001</v>
      </c>
      <c r="L147" s="10" t="s">
        <v>23</v>
      </c>
      <c r="M147" s="5">
        <f t="shared" si="12"/>
        <v>2025</v>
      </c>
      <c r="N147" s="5">
        <f t="shared" si="13"/>
        <v>10</v>
      </c>
      <c r="O147" s="21">
        <f t="shared" si="14"/>
        <v>45931</v>
      </c>
      <c r="P147" s="13">
        <f t="shared" si="15"/>
        <v>0.56931166347992357</v>
      </c>
      <c r="Q147" s="5">
        <f t="shared" si="16"/>
        <v>202510</v>
      </c>
      <c r="R147" s="21">
        <f t="shared" si="17"/>
        <v>45931</v>
      </c>
    </row>
    <row r="148" spans="1:18" x14ac:dyDescent="0.25">
      <c r="A148" s="5" t="s">
        <v>356</v>
      </c>
      <c r="B148" s="14">
        <v>45757</v>
      </c>
      <c r="C148" s="5" t="s">
        <v>357</v>
      </c>
      <c r="D148" s="10" t="s">
        <v>20</v>
      </c>
      <c r="E148" s="10" t="s">
        <v>58</v>
      </c>
      <c r="F148" s="10" t="s">
        <v>49</v>
      </c>
      <c r="G148" s="15">
        <v>2</v>
      </c>
      <c r="H148" s="11">
        <v>4632.1385</v>
      </c>
      <c r="I148" s="12">
        <v>5</v>
      </c>
      <c r="J148" s="11">
        <v>8801.5362999999998</v>
      </c>
      <c r="K148" s="11">
        <v>4108.8346000000001</v>
      </c>
      <c r="L148" s="10" t="s">
        <v>17</v>
      </c>
      <c r="M148" s="5">
        <f t="shared" si="12"/>
        <v>2025</v>
      </c>
      <c r="N148" s="5">
        <f t="shared" si="13"/>
        <v>4</v>
      </c>
      <c r="O148" s="21">
        <f t="shared" si="14"/>
        <v>45748</v>
      </c>
      <c r="P148" s="13">
        <f t="shared" si="15"/>
        <v>0.46683152349209767</v>
      </c>
      <c r="Q148" s="5">
        <f t="shared" si="16"/>
        <v>202504</v>
      </c>
      <c r="R148" s="21">
        <f t="shared" si="17"/>
        <v>45748</v>
      </c>
    </row>
    <row r="149" spans="1:18" x14ac:dyDescent="0.25">
      <c r="A149" s="5" t="s">
        <v>358</v>
      </c>
      <c r="B149" s="14">
        <v>45327</v>
      </c>
      <c r="C149" s="5" t="s">
        <v>359</v>
      </c>
      <c r="D149" s="10" t="s">
        <v>20</v>
      </c>
      <c r="E149" s="10" t="s">
        <v>43</v>
      </c>
      <c r="F149" s="10" t="s">
        <v>22</v>
      </c>
      <c r="G149" s="15">
        <v>1</v>
      </c>
      <c r="H149" s="11">
        <v>3406.68</v>
      </c>
      <c r="I149" s="12">
        <v>15</v>
      </c>
      <c r="J149" s="11">
        <v>2895.6779999999999</v>
      </c>
      <c r="K149" s="11">
        <v>1166.7879</v>
      </c>
      <c r="L149" s="10" t="s">
        <v>17</v>
      </c>
      <c r="M149" s="5">
        <f t="shared" si="12"/>
        <v>2024</v>
      </c>
      <c r="N149" s="5">
        <f t="shared" si="13"/>
        <v>2</v>
      </c>
      <c r="O149" s="21">
        <f t="shared" si="14"/>
        <v>45323</v>
      </c>
      <c r="P149" s="13">
        <f t="shared" si="15"/>
        <v>0.40294117647058825</v>
      </c>
      <c r="Q149" s="5">
        <f t="shared" si="16"/>
        <v>202402</v>
      </c>
      <c r="R149" s="21">
        <f t="shared" si="17"/>
        <v>45323</v>
      </c>
    </row>
    <row r="150" spans="1:18" x14ac:dyDescent="0.25">
      <c r="A150" s="5" t="s">
        <v>360</v>
      </c>
      <c r="B150" s="14">
        <v>45540</v>
      </c>
      <c r="C150" s="5" t="s">
        <v>361</v>
      </c>
      <c r="D150" s="10" t="s">
        <v>42</v>
      </c>
      <c r="E150" s="10" t="s">
        <v>27</v>
      </c>
      <c r="F150" s="10" t="s">
        <v>22</v>
      </c>
      <c r="G150" s="15">
        <v>2</v>
      </c>
      <c r="H150" s="11">
        <v>4634.9773999999998</v>
      </c>
      <c r="I150" s="12">
        <v>10</v>
      </c>
      <c r="J150" s="11">
        <v>8342.5807999999997</v>
      </c>
      <c r="K150" s="11">
        <v>3810.7501000000002</v>
      </c>
      <c r="L150" s="10" t="s">
        <v>23</v>
      </c>
      <c r="M150" s="5">
        <f t="shared" si="12"/>
        <v>2024</v>
      </c>
      <c r="N150" s="5">
        <f t="shared" si="13"/>
        <v>9</v>
      </c>
      <c r="O150" s="21">
        <f t="shared" si="14"/>
        <v>45536</v>
      </c>
      <c r="P150" s="13">
        <f t="shared" si="15"/>
        <v>0.45678312159709622</v>
      </c>
      <c r="Q150" s="5">
        <f t="shared" si="16"/>
        <v>202409</v>
      </c>
      <c r="R150" s="21">
        <f t="shared" si="17"/>
        <v>45536</v>
      </c>
    </row>
    <row r="151" spans="1:18" x14ac:dyDescent="0.25">
      <c r="A151" s="5" t="s">
        <v>362</v>
      </c>
      <c r="B151" s="14">
        <v>45860</v>
      </c>
      <c r="C151" s="5" t="s">
        <v>363</v>
      </c>
      <c r="D151" s="10" t="s">
        <v>42</v>
      </c>
      <c r="E151" s="10" t="s">
        <v>253</v>
      </c>
      <c r="F151" s="10" t="s">
        <v>49</v>
      </c>
      <c r="G151" s="15">
        <v>5</v>
      </c>
      <c r="H151" s="11">
        <v>2737.6459</v>
      </c>
      <c r="I151" s="12">
        <v>0</v>
      </c>
      <c r="J151" s="11">
        <v>13688.229499999999</v>
      </c>
      <c r="K151" s="11">
        <v>7342.3416999999999</v>
      </c>
      <c r="L151" s="10" t="s">
        <v>23</v>
      </c>
      <c r="M151" s="5">
        <f t="shared" si="12"/>
        <v>2025</v>
      </c>
      <c r="N151" s="5">
        <f t="shared" si="13"/>
        <v>7</v>
      </c>
      <c r="O151" s="21">
        <f t="shared" si="14"/>
        <v>45839</v>
      </c>
      <c r="P151" s="13">
        <f t="shared" si="15"/>
        <v>0.53639820255789838</v>
      </c>
      <c r="Q151" s="5">
        <f t="shared" si="16"/>
        <v>202507</v>
      </c>
      <c r="R151" s="21">
        <f t="shared" si="17"/>
        <v>45839</v>
      </c>
    </row>
    <row r="152" spans="1:18" x14ac:dyDescent="0.25">
      <c r="A152" s="5" t="s">
        <v>364</v>
      </c>
      <c r="B152" s="14">
        <v>45881</v>
      </c>
      <c r="C152" s="5" t="s">
        <v>365</v>
      </c>
      <c r="D152" s="10" t="s">
        <v>26</v>
      </c>
      <c r="E152" s="10" t="s">
        <v>58</v>
      </c>
      <c r="F152" s="10" t="s">
        <v>49</v>
      </c>
      <c r="G152" s="15">
        <v>2</v>
      </c>
      <c r="H152" s="11">
        <v>7707.6134999999995</v>
      </c>
      <c r="I152" s="12">
        <v>10</v>
      </c>
      <c r="J152" s="11">
        <v>13873.704300000001</v>
      </c>
      <c r="K152" s="11">
        <v>6599.4961999999996</v>
      </c>
      <c r="L152" s="10" t="s">
        <v>17</v>
      </c>
      <c r="M152" s="5">
        <f t="shared" si="12"/>
        <v>2025</v>
      </c>
      <c r="N152" s="5">
        <f t="shared" si="13"/>
        <v>8</v>
      </c>
      <c r="O152" s="21">
        <f t="shared" si="14"/>
        <v>45870</v>
      </c>
      <c r="P152" s="13">
        <f t="shared" si="15"/>
        <v>0.47568378691767266</v>
      </c>
      <c r="Q152" s="5">
        <f t="shared" si="16"/>
        <v>202508</v>
      </c>
      <c r="R152" s="21">
        <f t="shared" si="17"/>
        <v>45870</v>
      </c>
    </row>
    <row r="153" spans="1:18" x14ac:dyDescent="0.25">
      <c r="A153" s="5" t="s">
        <v>366</v>
      </c>
      <c r="B153" s="14">
        <v>45380</v>
      </c>
      <c r="C153" s="5" t="s">
        <v>367</v>
      </c>
      <c r="D153" s="10" t="s">
        <v>20</v>
      </c>
      <c r="E153" s="10" t="s">
        <v>246</v>
      </c>
      <c r="F153" s="10" t="s">
        <v>75</v>
      </c>
      <c r="G153" s="15">
        <v>2</v>
      </c>
      <c r="H153" s="11">
        <v>1850.0165</v>
      </c>
      <c r="I153" s="12">
        <v>20</v>
      </c>
      <c r="J153" s="11">
        <v>2960.0263999999997</v>
      </c>
      <c r="K153" s="11">
        <v>781.64379999999994</v>
      </c>
      <c r="L153" s="10" t="s">
        <v>23</v>
      </c>
      <c r="M153" s="5">
        <f t="shared" si="12"/>
        <v>2024</v>
      </c>
      <c r="N153" s="5">
        <f t="shared" si="13"/>
        <v>3</v>
      </c>
      <c r="O153" s="21">
        <f t="shared" si="14"/>
        <v>45352</v>
      </c>
      <c r="P153" s="13">
        <f t="shared" si="15"/>
        <v>0.26406649616368288</v>
      </c>
      <c r="Q153" s="5">
        <f t="shared" si="16"/>
        <v>202403</v>
      </c>
      <c r="R153" s="21">
        <f t="shared" si="17"/>
        <v>45352</v>
      </c>
    </row>
    <row r="154" spans="1:18" x14ac:dyDescent="0.25">
      <c r="A154" s="5" t="s">
        <v>368</v>
      </c>
      <c r="B154" s="14">
        <v>45367</v>
      </c>
      <c r="C154" s="5" t="s">
        <v>369</v>
      </c>
      <c r="D154" s="10" t="s">
        <v>42</v>
      </c>
      <c r="E154" s="10" t="s">
        <v>27</v>
      </c>
      <c r="F154" s="10" t="s">
        <v>22</v>
      </c>
      <c r="G154" s="15">
        <v>3</v>
      </c>
      <c r="H154" s="11">
        <v>1239.653</v>
      </c>
      <c r="I154" s="12">
        <v>0</v>
      </c>
      <c r="J154" s="11">
        <v>3718.9589999999994</v>
      </c>
      <c r="K154" s="11">
        <v>2157.5639999999999</v>
      </c>
      <c r="L154" s="10" t="s">
        <v>17</v>
      </c>
      <c r="M154" s="5">
        <f t="shared" si="12"/>
        <v>2024</v>
      </c>
      <c r="N154" s="5">
        <f t="shared" si="13"/>
        <v>3</v>
      </c>
      <c r="O154" s="21">
        <f t="shared" si="14"/>
        <v>45352</v>
      </c>
      <c r="P154" s="13">
        <f t="shared" si="15"/>
        <v>0.58015267175572527</v>
      </c>
      <c r="Q154" s="5">
        <f t="shared" si="16"/>
        <v>202403</v>
      </c>
      <c r="R154" s="21">
        <f t="shared" si="17"/>
        <v>45352</v>
      </c>
    </row>
    <row r="155" spans="1:18" x14ac:dyDescent="0.25">
      <c r="A155" s="5" t="s">
        <v>370</v>
      </c>
      <c r="B155" s="14">
        <v>45514</v>
      </c>
      <c r="C155" s="5" t="s">
        <v>130</v>
      </c>
      <c r="D155" s="10" t="s">
        <v>26</v>
      </c>
      <c r="E155" s="10" t="s">
        <v>43</v>
      </c>
      <c r="F155" s="10" t="s">
        <v>22</v>
      </c>
      <c r="G155" s="15">
        <v>2</v>
      </c>
      <c r="H155" s="11">
        <v>4684.1849999999995</v>
      </c>
      <c r="I155" s="12">
        <v>0</v>
      </c>
      <c r="J155" s="11">
        <v>9368.369999999999</v>
      </c>
      <c r="K155" s="11">
        <v>5823.5301999999992</v>
      </c>
      <c r="L155" s="10" t="s">
        <v>23</v>
      </c>
      <c r="M155" s="5">
        <f t="shared" si="12"/>
        <v>2024</v>
      </c>
      <c r="N155" s="5">
        <f t="shared" si="13"/>
        <v>8</v>
      </c>
      <c r="O155" s="21">
        <f t="shared" si="14"/>
        <v>45505</v>
      </c>
      <c r="P155" s="13">
        <f t="shared" si="15"/>
        <v>0.62161616161616162</v>
      </c>
      <c r="Q155" s="5">
        <f t="shared" si="16"/>
        <v>202408</v>
      </c>
      <c r="R155" s="21">
        <f t="shared" si="17"/>
        <v>45505</v>
      </c>
    </row>
    <row r="156" spans="1:18" x14ac:dyDescent="0.25">
      <c r="A156" s="5" t="s">
        <v>371</v>
      </c>
      <c r="B156" s="14">
        <v>45817</v>
      </c>
      <c r="C156" s="5" t="s">
        <v>372</v>
      </c>
      <c r="D156" s="10" t="s">
        <v>14</v>
      </c>
      <c r="E156" s="10" t="s">
        <v>30</v>
      </c>
      <c r="F156" s="10" t="s">
        <v>16</v>
      </c>
      <c r="G156" s="15">
        <v>2</v>
      </c>
      <c r="H156" s="11">
        <v>13357.0245</v>
      </c>
      <c r="I156" s="12">
        <v>20</v>
      </c>
      <c r="J156" s="11">
        <v>21371.2392</v>
      </c>
      <c r="K156" s="11">
        <v>3848.6021000000001</v>
      </c>
      <c r="L156" s="10" t="s">
        <v>17</v>
      </c>
      <c r="M156" s="5">
        <f t="shared" si="12"/>
        <v>2025</v>
      </c>
      <c r="N156" s="5">
        <f t="shared" si="13"/>
        <v>6</v>
      </c>
      <c r="O156" s="21">
        <f t="shared" si="14"/>
        <v>45809</v>
      </c>
      <c r="P156" s="13">
        <f t="shared" si="15"/>
        <v>0.18008324477506199</v>
      </c>
      <c r="Q156" s="5">
        <f t="shared" si="16"/>
        <v>202506</v>
      </c>
      <c r="R156" s="21">
        <f t="shared" si="17"/>
        <v>45809</v>
      </c>
    </row>
    <row r="157" spans="1:18" x14ac:dyDescent="0.25">
      <c r="A157" s="5" t="s">
        <v>373</v>
      </c>
      <c r="B157" s="14">
        <v>45309</v>
      </c>
      <c r="C157" s="5" t="s">
        <v>374</v>
      </c>
      <c r="D157" s="10" t="s">
        <v>14</v>
      </c>
      <c r="E157" s="10" t="s">
        <v>83</v>
      </c>
      <c r="F157" s="10" t="s">
        <v>22</v>
      </c>
      <c r="G157" s="15">
        <v>4</v>
      </c>
      <c r="H157" s="11">
        <v>1530.1671000000001</v>
      </c>
      <c r="I157" s="12">
        <v>10</v>
      </c>
      <c r="J157" s="11">
        <v>5508.4123</v>
      </c>
      <c r="K157" s="11">
        <v>2455.6484999999998</v>
      </c>
      <c r="L157" s="10" t="s">
        <v>17</v>
      </c>
      <c r="M157" s="5">
        <f t="shared" si="12"/>
        <v>2024</v>
      </c>
      <c r="N157" s="5">
        <f t="shared" si="13"/>
        <v>1</v>
      </c>
      <c r="O157" s="21">
        <f t="shared" si="14"/>
        <v>45292</v>
      </c>
      <c r="P157" s="13">
        <f t="shared" si="15"/>
        <v>0.44579969077478093</v>
      </c>
      <c r="Q157" s="5">
        <f t="shared" si="16"/>
        <v>202401</v>
      </c>
      <c r="R157" s="21">
        <f t="shared" si="17"/>
        <v>45292</v>
      </c>
    </row>
    <row r="158" spans="1:18" x14ac:dyDescent="0.25">
      <c r="A158" s="5" t="s">
        <v>375</v>
      </c>
      <c r="B158" s="14">
        <v>45609</v>
      </c>
      <c r="C158" s="5" t="s">
        <v>376</v>
      </c>
      <c r="D158" s="10" t="s">
        <v>26</v>
      </c>
      <c r="E158" s="10" t="s">
        <v>38</v>
      </c>
      <c r="F158" s="10" t="s">
        <v>39</v>
      </c>
      <c r="G158" s="15">
        <v>2</v>
      </c>
      <c r="H158" s="11">
        <v>7440.7568999999994</v>
      </c>
      <c r="I158" s="12">
        <v>0</v>
      </c>
      <c r="J158" s="11">
        <v>14881.513799999999</v>
      </c>
      <c r="K158" s="11">
        <v>4912.2432999999992</v>
      </c>
      <c r="L158" s="10" t="s">
        <v>17</v>
      </c>
      <c r="M158" s="5">
        <f t="shared" si="12"/>
        <v>2024</v>
      </c>
      <c r="N158" s="5">
        <f t="shared" si="13"/>
        <v>11</v>
      </c>
      <c r="O158" s="21">
        <f t="shared" si="14"/>
        <v>45597</v>
      </c>
      <c r="P158" s="13">
        <f t="shared" si="15"/>
        <v>0.33009029632455805</v>
      </c>
      <c r="Q158" s="5">
        <f t="shared" si="16"/>
        <v>202411</v>
      </c>
      <c r="R158" s="21">
        <f t="shared" si="17"/>
        <v>45597</v>
      </c>
    </row>
    <row r="159" spans="1:18" x14ac:dyDescent="0.25">
      <c r="A159" s="5" t="s">
        <v>377</v>
      </c>
      <c r="B159" s="14">
        <v>45451</v>
      </c>
      <c r="C159" s="5" t="s">
        <v>378</v>
      </c>
      <c r="D159" s="10" t="s">
        <v>42</v>
      </c>
      <c r="E159" s="10" t="s">
        <v>55</v>
      </c>
      <c r="F159" s="10" t="s">
        <v>16</v>
      </c>
      <c r="G159" s="15">
        <v>3</v>
      </c>
      <c r="H159" s="11">
        <v>9897.3516999999993</v>
      </c>
      <c r="I159" s="12">
        <v>15</v>
      </c>
      <c r="J159" s="11">
        <v>25237.820999999996</v>
      </c>
      <c r="K159" s="11">
        <v>2259.7644</v>
      </c>
      <c r="L159" s="10" t="s">
        <v>17</v>
      </c>
      <c r="M159" s="5">
        <f t="shared" si="12"/>
        <v>2024</v>
      </c>
      <c r="N159" s="5">
        <f t="shared" si="13"/>
        <v>6</v>
      </c>
      <c r="O159" s="21">
        <f t="shared" si="14"/>
        <v>45444</v>
      </c>
      <c r="P159" s="13">
        <f t="shared" si="15"/>
        <v>8.9538807649043886E-2</v>
      </c>
      <c r="Q159" s="5">
        <f t="shared" si="16"/>
        <v>202406</v>
      </c>
      <c r="R159" s="21">
        <f t="shared" si="17"/>
        <v>45444</v>
      </c>
    </row>
    <row r="160" spans="1:18" x14ac:dyDescent="0.25">
      <c r="A160" s="5" t="s">
        <v>379</v>
      </c>
      <c r="B160" s="14">
        <v>45970</v>
      </c>
      <c r="C160" s="5" t="s">
        <v>380</v>
      </c>
      <c r="D160" s="10" t="s">
        <v>42</v>
      </c>
      <c r="E160" s="10" t="s">
        <v>133</v>
      </c>
      <c r="F160" s="10" t="s">
        <v>75</v>
      </c>
      <c r="G160" s="15">
        <v>1</v>
      </c>
      <c r="H160" s="11">
        <v>2873.9130999999998</v>
      </c>
      <c r="I160" s="12">
        <v>10</v>
      </c>
      <c r="J160" s="11">
        <v>2586.2378999999996</v>
      </c>
      <c r="K160" s="11">
        <v>591.4375</v>
      </c>
      <c r="L160" s="10" t="s">
        <v>17</v>
      </c>
      <c r="M160" s="5">
        <f t="shared" si="12"/>
        <v>2025</v>
      </c>
      <c r="N160" s="5">
        <f t="shared" si="13"/>
        <v>11</v>
      </c>
      <c r="O160" s="21">
        <f t="shared" si="14"/>
        <v>45962</v>
      </c>
      <c r="P160" s="13">
        <f t="shared" si="15"/>
        <v>0.22868642517380172</v>
      </c>
      <c r="Q160" s="5">
        <f t="shared" si="16"/>
        <v>202511</v>
      </c>
      <c r="R160" s="21">
        <f t="shared" si="17"/>
        <v>45962</v>
      </c>
    </row>
    <row r="161" spans="1:18" x14ac:dyDescent="0.25">
      <c r="A161" s="5" t="s">
        <v>381</v>
      </c>
      <c r="B161" s="14">
        <v>45966</v>
      </c>
      <c r="C161" s="5" t="s">
        <v>382</v>
      </c>
      <c r="D161" s="10" t="s">
        <v>14</v>
      </c>
      <c r="E161" s="10" t="s">
        <v>291</v>
      </c>
      <c r="F161" s="10" t="s">
        <v>22</v>
      </c>
      <c r="G161" s="15">
        <v>1</v>
      </c>
      <c r="H161" s="11">
        <v>1235.8678</v>
      </c>
      <c r="I161" s="12">
        <v>0</v>
      </c>
      <c r="J161" s="11">
        <v>1235.8678</v>
      </c>
      <c r="K161" s="11">
        <v>753.25479999999993</v>
      </c>
      <c r="L161" s="10" t="s">
        <v>17</v>
      </c>
      <c r="M161" s="5">
        <f t="shared" si="12"/>
        <v>2025</v>
      </c>
      <c r="N161" s="5">
        <f t="shared" si="13"/>
        <v>11</v>
      </c>
      <c r="O161" s="21">
        <f t="shared" si="14"/>
        <v>45962</v>
      </c>
      <c r="P161" s="13">
        <f t="shared" si="15"/>
        <v>0.60949464012251142</v>
      </c>
      <c r="Q161" s="5">
        <f t="shared" si="16"/>
        <v>202511</v>
      </c>
      <c r="R161" s="21">
        <f t="shared" si="17"/>
        <v>45962</v>
      </c>
    </row>
    <row r="162" spans="1:18" x14ac:dyDescent="0.25">
      <c r="A162" s="5" t="s">
        <v>383</v>
      </c>
      <c r="B162" s="14">
        <v>45547</v>
      </c>
      <c r="C162" s="5" t="s">
        <v>384</v>
      </c>
      <c r="D162" s="10" t="s">
        <v>26</v>
      </c>
      <c r="E162" s="10" t="s">
        <v>118</v>
      </c>
      <c r="F162" s="10" t="s">
        <v>49</v>
      </c>
      <c r="G162" s="15">
        <v>2</v>
      </c>
      <c r="H162" s="11">
        <v>6791.5950999999995</v>
      </c>
      <c r="I162" s="12">
        <v>25</v>
      </c>
      <c r="J162" s="11">
        <v>10187.8658</v>
      </c>
      <c r="K162" s="11">
        <v>5054.1882999999998</v>
      </c>
      <c r="L162" s="10" t="s">
        <v>23</v>
      </c>
      <c r="M162" s="5">
        <f t="shared" si="12"/>
        <v>2024</v>
      </c>
      <c r="N162" s="5">
        <f t="shared" si="13"/>
        <v>9</v>
      </c>
      <c r="O162" s="21">
        <f t="shared" si="14"/>
        <v>45536</v>
      </c>
      <c r="P162" s="13">
        <f t="shared" si="15"/>
        <v>0.49609882964889468</v>
      </c>
      <c r="Q162" s="5">
        <f t="shared" si="16"/>
        <v>202409</v>
      </c>
      <c r="R162" s="21">
        <f t="shared" si="17"/>
        <v>45536</v>
      </c>
    </row>
    <row r="163" spans="1:18" x14ac:dyDescent="0.25">
      <c r="A163" s="5" t="s">
        <v>385</v>
      </c>
      <c r="B163" s="14">
        <v>45951</v>
      </c>
      <c r="C163" s="5" t="s">
        <v>386</v>
      </c>
      <c r="D163" s="10" t="s">
        <v>20</v>
      </c>
      <c r="E163" s="10" t="s">
        <v>38</v>
      </c>
      <c r="F163" s="10" t="s">
        <v>39</v>
      </c>
      <c r="G163" s="15">
        <v>3</v>
      </c>
      <c r="H163" s="11">
        <v>5675.9073999999991</v>
      </c>
      <c r="I163" s="12">
        <v>0</v>
      </c>
      <c r="J163" s="11">
        <v>17027.7222</v>
      </c>
      <c r="K163" s="11">
        <v>5737.4169000000002</v>
      </c>
      <c r="L163" s="10" t="s">
        <v>23</v>
      </c>
      <c r="M163" s="5">
        <f t="shared" si="12"/>
        <v>2025</v>
      </c>
      <c r="N163" s="5">
        <f t="shared" si="13"/>
        <v>10</v>
      </c>
      <c r="O163" s="21">
        <f t="shared" si="14"/>
        <v>45931</v>
      </c>
      <c r="P163" s="13">
        <f t="shared" si="15"/>
        <v>0.33694564854951653</v>
      </c>
      <c r="Q163" s="5">
        <f t="shared" si="16"/>
        <v>202510</v>
      </c>
      <c r="R163" s="21">
        <f t="shared" si="17"/>
        <v>45931</v>
      </c>
    </row>
    <row r="164" spans="1:18" x14ac:dyDescent="0.25">
      <c r="A164" s="5" t="s">
        <v>387</v>
      </c>
      <c r="B164" s="14">
        <v>45726</v>
      </c>
      <c r="C164" s="5" t="s">
        <v>388</v>
      </c>
      <c r="D164" s="10" t="s">
        <v>14</v>
      </c>
      <c r="E164" s="10" t="s">
        <v>232</v>
      </c>
      <c r="F164" s="10" t="s">
        <v>22</v>
      </c>
      <c r="G164" s="15">
        <v>1</v>
      </c>
      <c r="H164" s="11">
        <v>4621.7291999999998</v>
      </c>
      <c r="I164" s="12">
        <v>25</v>
      </c>
      <c r="J164" s="11">
        <v>3466.2969000000003</v>
      </c>
      <c r="K164" s="11">
        <v>1703.34</v>
      </c>
      <c r="L164" s="10" t="s">
        <v>17</v>
      </c>
      <c r="M164" s="5">
        <f t="shared" si="12"/>
        <v>2025</v>
      </c>
      <c r="N164" s="5">
        <f t="shared" si="13"/>
        <v>3</v>
      </c>
      <c r="O164" s="21">
        <f t="shared" si="14"/>
        <v>45717</v>
      </c>
      <c r="P164" s="13">
        <f t="shared" si="15"/>
        <v>0.49140049140049136</v>
      </c>
      <c r="Q164" s="5">
        <f t="shared" si="16"/>
        <v>202503</v>
      </c>
      <c r="R164" s="21">
        <f t="shared" si="17"/>
        <v>45717</v>
      </c>
    </row>
    <row r="165" spans="1:18" x14ac:dyDescent="0.25">
      <c r="A165" s="5" t="s">
        <v>389</v>
      </c>
      <c r="B165" s="14">
        <v>45424</v>
      </c>
      <c r="C165" s="5" t="s">
        <v>390</v>
      </c>
      <c r="D165" s="10" t="s">
        <v>20</v>
      </c>
      <c r="E165" s="10" t="s">
        <v>38</v>
      </c>
      <c r="F165" s="10" t="s">
        <v>39</v>
      </c>
      <c r="G165" s="15">
        <v>3</v>
      </c>
      <c r="H165" s="11">
        <v>2209.6105000000002</v>
      </c>
      <c r="I165" s="12">
        <v>5</v>
      </c>
      <c r="J165" s="11">
        <v>6297.6264999999994</v>
      </c>
      <c r="K165" s="11">
        <v>1581.2673</v>
      </c>
      <c r="L165" s="10" t="s">
        <v>17</v>
      </c>
      <c r="M165" s="5">
        <f t="shared" si="12"/>
        <v>2024</v>
      </c>
      <c r="N165" s="5">
        <f t="shared" si="13"/>
        <v>5</v>
      </c>
      <c r="O165" s="21">
        <f t="shared" si="14"/>
        <v>45413</v>
      </c>
      <c r="P165" s="13">
        <f t="shared" si="15"/>
        <v>0.25108940646130729</v>
      </c>
      <c r="Q165" s="5">
        <f t="shared" si="16"/>
        <v>202405</v>
      </c>
      <c r="R165" s="21">
        <f t="shared" si="17"/>
        <v>45413</v>
      </c>
    </row>
    <row r="166" spans="1:18" x14ac:dyDescent="0.25">
      <c r="A166" s="5" t="s">
        <v>391</v>
      </c>
      <c r="B166" s="14">
        <v>46009</v>
      </c>
      <c r="C166" s="5" t="s">
        <v>392</v>
      </c>
      <c r="D166" s="10" t="s">
        <v>42</v>
      </c>
      <c r="E166" s="10" t="s">
        <v>246</v>
      </c>
      <c r="F166" s="10" t="s">
        <v>75</v>
      </c>
      <c r="G166" s="15">
        <v>4</v>
      </c>
      <c r="H166" s="11">
        <v>4600.9105999999992</v>
      </c>
      <c r="I166" s="12">
        <v>15</v>
      </c>
      <c r="J166" s="11">
        <v>15643.2853</v>
      </c>
      <c r="K166" s="11">
        <v>2503.9097999999999</v>
      </c>
      <c r="L166" s="10" t="s">
        <v>17</v>
      </c>
      <c r="M166" s="5">
        <f t="shared" si="12"/>
        <v>2025</v>
      </c>
      <c r="N166" s="5">
        <f t="shared" si="13"/>
        <v>12</v>
      </c>
      <c r="O166" s="21">
        <f t="shared" si="14"/>
        <v>45992</v>
      </c>
      <c r="P166" s="13">
        <f t="shared" si="15"/>
        <v>0.16006291210453089</v>
      </c>
      <c r="Q166" s="5">
        <f t="shared" si="16"/>
        <v>202512</v>
      </c>
      <c r="R166" s="21">
        <f t="shared" si="17"/>
        <v>45992</v>
      </c>
    </row>
    <row r="167" spans="1:18" x14ac:dyDescent="0.25">
      <c r="A167" s="5" t="s">
        <v>393</v>
      </c>
      <c r="B167" s="14">
        <v>46004</v>
      </c>
      <c r="C167" s="5" t="s">
        <v>394</v>
      </c>
      <c r="D167" s="10" t="s">
        <v>20</v>
      </c>
      <c r="E167" s="10" t="s">
        <v>133</v>
      </c>
      <c r="F167" s="10" t="s">
        <v>75</v>
      </c>
      <c r="G167" s="15">
        <v>1</v>
      </c>
      <c r="H167" s="11">
        <v>4570.6289999999999</v>
      </c>
      <c r="I167" s="12">
        <v>10</v>
      </c>
      <c r="J167" s="11">
        <v>4113.5661</v>
      </c>
      <c r="K167" s="11">
        <v>951.9778</v>
      </c>
      <c r="L167" s="10" t="s">
        <v>17</v>
      </c>
      <c r="M167" s="5">
        <f t="shared" si="12"/>
        <v>2025</v>
      </c>
      <c r="N167" s="5">
        <f t="shared" si="13"/>
        <v>12</v>
      </c>
      <c r="O167" s="21">
        <f t="shared" si="14"/>
        <v>45992</v>
      </c>
      <c r="P167" s="13">
        <f t="shared" si="15"/>
        <v>0.23142397055440533</v>
      </c>
      <c r="Q167" s="5">
        <f t="shared" si="16"/>
        <v>202512</v>
      </c>
      <c r="R167" s="21">
        <f t="shared" si="17"/>
        <v>45992</v>
      </c>
    </row>
    <row r="168" spans="1:18" x14ac:dyDescent="0.25">
      <c r="A168" s="5" t="s">
        <v>395</v>
      </c>
      <c r="B168" s="14">
        <v>45753</v>
      </c>
      <c r="C168" s="5" t="s">
        <v>396</v>
      </c>
      <c r="D168" s="10" t="s">
        <v>14</v>
      </c>
      <c r="E168" s="10" t="s">
        <v>43</v>
      </c>
      <c r="F168" s="10" t="s">
        <v>22</v>
      </c>
      <c r="G168" s="15">
        <v>3</v>
      </c>
      <c r="H168" s="11">
        <v>1392.0073</v>
      </c>
      <c r="I168" s="12">
        <v>5</v>
      </c>
      <c r="J168" s="11">
        <v>3966.8896</v>
      </c>
      <c r="K168" s="11">
        <v>2198.2548999999999</v>
      </c>
      <c r="L168" s="10" t="s">
        <v>17</v>
      </c>
      <c r="M168" s="5">
        <f t="shared" si="12"/>
        <v>2025</v>
      </c>
      <c r="N168" s="5">
        <f t="shared" si="13"/>
        <v>4</v>
      </c>
      <c r="O168" s="21">
        <f t="shared" si="14"/>
        <v>45748</v>
      </c>
      <c r="P168" s="13">
        <f t="shared" si="15"/>
        <v>0.55415076335877855</v>
      </c>
      <c r="Q168" s="5">
        <f t="shared" si="16"/>
        <v>202504</v>
      </c>
      <c r="R168" s="21">
        <f t="shared" si="17"/>
        <v>45748</v>
      </c>
    </row>
    <row r="169" spans="1:18" x14ac:dyDescent="0.25">
      <c r="A169" s="5" t="s">
        <v>397</v>
      </c>
      <c r="B169" s="14">
        <v>45641</v>
      </c>
      <c r="C169" s="5" t="s">
        <v>398</v>
      </c>
      <c r="D169" s="10" t="s">
        <v>37</v>
      </c>
      <c r="E169" s="10" t="s">
        <v>64</v>
      </c>
      <c r="F169" s="10" t="s">
        <v>16</v>
      </c>
      <c r="G169" s="15">
        <v>1</v>
      </c>
      <c r="H169" s="11">
        <v>7036.6867999999995</v>
      </c>
      <c r="I169" s="12">
        <v>5</v>
      </c>
      <c r="J169" s="11">
        <v>6684.6632</v>
      </c>
      <c r="K169" s="11">
        <v>1114.7413999999999</v>
      </c>
      <c r="L169" s="10" t="s">
        <v>17</v>
      </c>
      <c r="M169" s="5">
        <f t="shared" si="12"/>
        <v>2024</v>
      </c>
      <c r="N169" s="5">
        <f t="shared" si="13"/>
        <v>12</v>
      </c>
      <c r="O169" s="21">
        <f t="shared" si="14"/>
        <v>45627</v>
      </c>
      <c r="P169" s="13">
        <f t="shared" si="15"/>
        <v>0.16676104190260474</v>
      </c>
      <c r="Q169" s="5">
        <f t="shared" si="16"/>
        <v>202412</v>
      </c>
      <c r="R169" s="21">
        <f t="shared" si="17"/>
        <v>45627</v>
      </c>
    </row>
    <row r="170" spans="1:18" x14ac:dyDescent="0.25">
      <c r="A170" s="5" t="s">
        <v>399</v>
      </c>
      <c r="B170" s="14">
        <v>45572</v>
      </c>
      <c r="C170" s="5" t="s">
        <v>400</v>
      </c>
      <c r="D170" s="10" t="s">
        <v>14</v>
      </c>
      <c r="E170" s="10" t="s">
        <v>324</v>
      </c>
      <c r="F170" s="10" t="s">
        <v>16</v>
      </c>
      <c r="G170" s="15">
        <v>1</v>
      </c>
      <c r="H170" s="11">
        <v>8222.4007000000001</v>
      </c>
      <c r="I170" s="12">
        <v>20</v>
      </c>
      <c r="J170" s="11">
        <v>6577.7313000000004</v>
      </c>
      <c r="K170" s="11">
        <v>1472.4428</v>
      </c>
      <c r="L170" s="10" t="s">
        <v>23</v>
      </c>
      <c r="M170" s="5">
        <f t="shared" si="12"/>
        <v>2024</v>
      </c>
      <c r="N170" s="5">
        <f t="shared" si="13"/>
        <v>10</v>
      </c>
      <c r="O170" s="21">
        <f t="shared" si="14"/>
        <v>45566</v>
      </c>
      <c r="P170" s="13">
        <f t="shared" si="15"/>
        <v>0.22385268306718456</v>
      </c>
      <c r="Q170" s="5">
        <f t="shared" si="16"/>
        <v>202410</v>
      </c>
      <c r="R170" s="21">
        <f t="shared" si="17"/>
        <v>45566</v>
      </c>
    </row>
    <row r="171" spans="1:18" x14ac:dyDescent="0.25">
      <c r="A171" s="5" t="s">
        <v>401</v>
      </c>
      <c r="B171" s="14">
        <v>45565</v>
      </c>
      <c r="C171" s="5" t="s">
        <v>402</v>
      </c>
      <c r="D171" s="10" t="s">
        <v>26</v>
      </c>
      <c r="E171" s="10" t="s">
        <v>27</v>
      </c>
      <c r="F171" s="10" t="s">
        <v>22</v>
      </c>
      <c r="G171" s="15">
        <v>2</v>
      </c>
      <c r="H171" s="11">
        <v>2499.1783</v>
      </c>
      <c r="I171" s="12">
        <v>5</v>
      </c>
      <c r="J171" s="11">
        <v>4748.5333999999993</v>
      </c>
      <c r="K171" s="11">
        <v>2022.2430999999999</v>
      </c>
      <c r="L171" s="10" t="s">
        <v>23</v>
      </c>
      <c r="M171" s="5">
        <f t="shared" si="12"/>
        <v>2024</v>
      </c>
      <c r="N171" s="5">
        <f t="shared" si="13"/>
        <v>9</v>
      </c>
      <c r="O171" s="21">
        <f t="shared" si="14"/>
        <v>45536</v>
      </c>
      <c r="P171" s="13">
        <f t="shared" si="15"/>
        <v>0.42586687923475491</v>
      </c>
      <c r="Q171" s="5">
        <f t="shared" si="16"/>
        <v>202409</v>
      </c>
      <c r="R171" s="21">
        <f t="shared" si="17"/>
        <v>45536</v>
      </c>
    </row>
    <row r="172" spans="1:18" x14ac:dyDescent="0.25">
      <c r="A172" s="5" t="s">
        <v>403</v>
      </c>
      <c r="B172" s="14">
        <v>45560</v>
      </c>
      <c r="C172" s="5" t="s">
        <v>404</v>
      </c>
      <c r="D172" s="10" t="s">
        <v>42</v>
      </c>
      <c r="E172" s="10" t="s">
        <v>211</v>
      </c>
      <c r="F172" s="10" t="s">
        <v>39</v>
      </c>
      <c r="G172" s="15">
        <v>2</v>
      </c>
      <c r="H172" s="11">
        <v>5220.7371000000003</v>
      </c>
      <c r="I172" s="12">
        <v>5</v>
      </c>
      <c r="J172" s="11">
        <v>9919.1165999999994</v>
      </c>
      <c r="K172" s="11">
        <v>2120.6583000000001</v>
      </c>
      <c r="L172" s="10" t="s">
        <v>17</v>
      </c>
      <c r="M172" s="5">
        <f t="shared" si="12"/>
        <v>2024</v>
      </c>
      <c r="N172" s="5">
        <f t="shared" si="13"/>
        <v>9</v>
      </c>
      <c r="O172" s="21">
        <f t="shared" si="14"/>
        <v>45536</v>
      </c>
      <c r="P172" s="13">
        <f t="shared" si="15"/>
        <v>0.21379507727532915</v>
      </c>
      <c r="Q172" s="5">
        <f t="shared" si="16"/>
        <v>202409</v>
      </c>
      <c r="R172" s="21">
        <f t="shared" si="17"/>
        <v>45536</v>
      </c>
    </row>
    <row r="173" spans="1:18" x14ac:dyDescent="0.25">
      <c r="A173" s="5" t="s">
        <v>405</v>
      </c>
      <c r="B173" s="14">
        <v>45492</v>
      </c>
      <c r="C173" s="5" t="s">
        <v>316</v>
      </c>
      <c r="D173" s="10" t="s">
        <v>37</v>
      </c>
      <c r="E173" s="10" t="s">
        <v>246</v>
      </c>
      <c r="F173" s="10" t="s">
        <v>75</v>
      </c>
      <c r="G173" s="15">
        <v>1</v>
      </c>
      <c r="H173" s="11">
        <v>3755.8646999999996</v>
      </c>
      <c r="I173" s="12">
        <v>15</v>
      </c>
      <c r="J173" s="11">
        <v>3192.8162000000002</v>
      </c>
      <c r="K173" s="11">
        <v>834.63659999999993</v>
      </c>
      <c r="L173" s="10" t="s">
        <v>17</v>
      </c>
      <c r="M173" s="5">
        <f t="shared" si="12"/>
        <v>2024</v>
      </c>
      <c r="N173" s="5">
        <f t="shared" si="13"/>
        <v>7</v>
      </c>
      <c r="O173" s="21">
        <f t="shared" si="14"/>
        <v>45474</v>
      </c>
      <c r="P173" s="13">
        <f t="shared" si="15"/>
        <v>0.2614107883817427</v>
      </c>
      <c r="Q173" s="5">
        <f t="shared" si="16"/>
        <v>202407</v>
      </c>
      <c r="R173" s="21">
        <f t="shared" si="17"/>
        <v>45474</v>
      </c>
    </row>
    <row r="174" spans="1:18" x14ac:dyDescent="0.25">
      <c r="A174" s="5" t="s">
        <v>406</v>
      </c>
      <c r="B174" s="14">
        <v>45831</v>
      </c>
      <c r="C174" s="5" t="s">
        <v>407</v>
      </c>
      <c r="D174" s="10" t="s">
        <v>37</v>
      </c>
      <c r="E174" s="10" t="s">
        <v>253</v>
      </c>
      <c r="F174" s="10" t="s">
        <v>49</v>
      </c>
      <c r="G174" s="15">
        <v>3</v>
      </c>
      <c r="H174" s="11">
        <v>6321.2839999999997</v>
      </c>
      <c r="I174" s="12">
        <v>10</v>
      </c>
      <c r="J174" s="11">
        <v>17067.466800000002</v>
      </c>
      <c r="K174" s="11">
        <v>8077.6167999999998</v>
      </c>
      <c r="L174" s="10" t="s">
        <v>17</v>
      </c>
      <c r="M174" s="5">
        <f t="shared" si="12"/>
        <v>2025</v>
      </c>
      <c r="N174" s="5">
        <f t="shared" si="13"/>
        <v>6</v>
      </c>
      <c r="O174" s="21">
        <f t="shared" si="14"/>
        <v>45809</v>
      </c>
      <c r="P174" s="13">
        <f t="shared" si="15"/>
        <v>0.47327567088046124</v>
      </c>
      <c r="Q174" s="5">
        <f t="shared" si="16"/>
        <v>202506</v>
      </c>
      <c r="R174" s="21">
        <f t="shared" si="17"/>
        <v>45809</v>
      </c>
    </row>
    <row r="175" spans="1:18" x14ac:dyDescent="0.25">
      <c r="A175" s="5" t="s">
        <v>408</v>
      </c>
      <c r="B175" s="14">
        <v>45325</v>
      </c>
      <c r="C175" s="5" t="s">
        <v>124</v>
      </c>
      <c r="D175" s="10" t="s">
        <v>26</v>
      </c>
      <c r="E175" s="10" t="s">
        <v>91</v>
      </c>
      <c r="F175" s="10" t="s">
        <v>49</v>
      </c>
      <c r="G175" s="15">
        <v>1</v>
      </c>
      <c r="H175" s="11">
        <v>4315.1279999999997</v>
      </c>
      <c r="I175" s="12">
        <v>0</v>
      </c>
      <c r="J175" s="11">
        <v>4315.1279999999997</v>
      </c>
      <c r="K175" s="11">
        <v>1991.9614999999999</v>
      </c>
      <c r="L175" s="10" t="s">
        <v>17</v>
      </c>
      <c r="M175" s="5">
        <f t="shared" si="12"/>
        <v>2024</v>
      </c>
      <c r="N175" s="5">
        <f t="shared" si="13"/>
        <v>2</v>
      </c>
      <c r="O175" s="21">
        <f t="shared" si="14"/>
        <v>45323</v>
      </c>
      <c r="P175" s="13">
        <f t="shared" si="15"/>
        <v>0.46162280701754388</v>
      </c>
      <c r="Q175" s="5">
        <f t="shared" si="16"/>
        <v>202402</v>
      </c>
      <c r="R175" s="21">
        <f t="shared" si="17"/>
        <v>45323</v>
      </c>
    </row>
    <row r="176" spans="1:18" x14ac:dyDescent="0.25">
      <c r="A176" s="5" t="s">
        <v>409</v>
      </c>
      <c r="B176" s="14">
        <v>45746</v>
      </c>
      <c r="C176" s="5" t="s">
        <v>300</v>
      </c>
      <c r="D176" s="10" t="s">
        <v>37</v>
      </c>
      <c r="E176" s="10" t="s">
        <v>21</v>
      </c>
      <c r="F176" s="10" t="s">
        <v>22</v>
      </c>
      <c r="G176" s="15">
        <v>2</v>
      </c>
      <c r="H176" s="11">
        <v>2431.991</v>
      </c>
      <c r="I176" s="12">
        <v>5</v>
      </c>
      <c r="J176" s="11">
        <v>4620.7828999999992</v>
      </c>
      <c r="K176" s="11">
        <v>1903.9556</v>
      </c>
      <c r="L176" s="10" t="s">
        <v>34</v>
      </c>
      <c r="M176" s="5">
        <f t="shared" si="12"/>
        <v>2025</v>
      </c>
      <c r="N176" s="5">
        <f t="shared" si="13"/>
        <v>3</v>
      </c>
      <c r="O176" s="21">
        <f t="shared" si="14"/>
        <v>45717</v>
      </c>
      <c r="P176" s="13">
        <f t="shared" si="15"/>
        <v>0.4120417775957404</v>
      </c>
      <c r="Q176" s="5">
        <f t="shared" si="16"/>
        <v>202503</v>
      </c>
      <c r="R176" s="21">
        <f t="shared" si="17"/>
        <v>45717</v>
      </c>
    </row>
    <row r="177" spans="1:18" x14ac:dyDescent="0.25">
      <c r="A177" s="5" t="s">
        <v>410</v>
      </c>
      <c r="B177" s="14">
        <v>45650</v>
      </c>
      <c r="C177" s="5" t="s">
        <v>411</v>
      </c>
      <c r="D177" s="10" t="s">
        <v>20</v>
      </c>
      <c r="E177" s="10" t="s">
        <v>118</v>
      </c>
      <c r="F177" s="10" t="s">
        <v>49</v>
      </c>
      <c r="G177" s="15">
        <v>1</v>
      </c>
      <c r="H177" s="11">
        <v>6522.8459000000003</v>
      </c>
      <c r="I177" s="12">
        <v>0</v>
      </c>
      <c r="J177" s="11">
        <v>6522.8459000000003</v>
      </c>
      <c r="K177" s="11">
        <v>2993.1468999999997</v>
      </c>
      <c r="L177" s="10" t="s">
        <v>34</v>
      </c>
      <c r="M177" s="5">
        <f t="shared" si="12"/>
        <v>2024</v>
      </c>
      <c r="N177" s="5">
        <f t="shared" si="13"/>
        <v>12</v>
      </c>
      <c r="O177" s="21">
        <f t="shared" si="14"/>
        <v>45627</v>
      </c>
      <c r="P177" s="13">
        <f t="shared" si="15"/>
        <v>0.45887131872914544</v>
      </c>
      <c r="Q177" s="5">
        <f t="shared" si="16"/>
        <v>202412</v>
      </c>
      <c r="R177" s="21">
        <f t="shared" si="17"/>
        <v>45627</v>
      </c>
    </row>
    <row r="178" spans="1:18" x14ac:dyDescent="0.25">
      <c r="A178" s="5" t="s">
        <v>412</v>
      </c>
      <c r="B178" s="14">
        <v>46000</v>
      </c>
      <c r="C178" s="5" t="s">
        <v>413</v>
      </c>
      <c r="D178" s="10" t="s">
        <v>37</v>
      </c>
      <c r="E178" s="10" t="s">
        <v>246</v>
      </c>
      <c r="F178" s="10" t="s">
        <v>75</v>
      </c>
      <c r="G178" s="15">
        <v>3</v>
      </c>
      <c r="H178" s="11">
        <v>4257.4036999999998</v>
      </c>
      <c r="I178" s="12">
        <v>10</v>
      </c>
      <c r="J178" s="11">
        <v>11494.706099999999</v>
      </c>
      <c r="K178" s="11">
        <v>2771.7126999999996</v>
      </c>
      <c r="L178" s="10" t="s">
        <v>17</v>
      </c>
      <c r="M178" s="5">
        <f t="shared" si="12"/>
        <v>2025</v>
      </c>
      <c r="N178" s="5">
        <f t="shared" si="13"/>
        <v>12</v>
      </c>
      <c r="O178" s="21">
        <f t="shared" si="14"/>
        <v>45992</v>
      </c>
      <c r="P178" s="13">
        <f t="shared" si="15"/>
        <v>0.2411294969951428</v>
      </c>
      <c r="Q178" s="5">
        <f t="shared" si="16"/>
        <v>202512</v>
      </c>
      <c r="R178" s="21">
        <f t="shared" si="17"/>
        <v>45992</v>
      </c>
    </row>
    <row r="179" spans="1:18" x14ac:dyDescent="0.25">
      <c r="A179" s="5" t="s">
        <v>414</v>
      </c>
      <c r="B179" s="14">
        <v>45576</v>
      </c>
      <c r="C179" s="5" t="s">
        <v>415</v>
      </c>
      <c r="D179" s="10" t="s">
        <v>20</v>
      </c>
      <c r="E179" s="10" t="s">
        <v>291</v>
      </c>
      <c r="F179" s="10" t="s">
        <v>22</v>
      </c>
      <c r="G179" s="15">
        <v>2</v>
      </c>
      <c r="H179" s="11">
        <v>4236.5851000000002</v>
      </c>
      <c r="I179" s="12">
        <v>5</v>
      </c>
      <c r="J179" s="11">
        <v>8049.2277999999997</v>
      </c>
      <c r="K179" s="11">
        <v>3617.7048999999997</v>
      </c>
      <c r="L179" s="10" t="s">
        <v>23</v>
      </c>
      <c r="M179" s="5">
        <f t="shared" si="12"/>
        <v>2024</v>
      </c>
      <c r="N179" s="5">
        <f t="shared" si="13"/>
        <v>10</v>
      </c>
      <c r="O179" s="21">
        <f t="shared" si="14"/>
        <v>45566</v>
      </c>
      <c r="P179" s="13">
        <f t="shared" si="15"/>
        <v>0.44944744885962851</v>
      </c>
      <c r="Q179" s="5">
        <f t="shared" si="16"/>
        <v>202410</v>
      </c>
      <c r="R179" s="21">
        <f t="shared" si="17"/>
        <v>45566</v>
      </c>
    </row>
    <row r="180" spans="1:18" x14ac:dyDescent="0.25">
      <c r="A180" s="5" t="s">
        <v>416</v>
      </c>
      <c r="B180" s="14">
        <v>45606</v>
      </c>
      <c r="C180" s="5" t="s">
        <v>417</v>
      </c>
      <c r="D180" s="10" t="s">
        <v>26</v>
      </c>
      <c r="E180" s="10" t="s">
        <v>184</v>
      </c>
      <c r="F180" s="10" t="s">
        <v>49</v>
      </c>
      <c r="G180" s="15">
        <v>4</v>
      </c>
      <c r="H180" s="11">
        <v>8077.6167999999998</v>
      </c>
      <c r="I180" s="12">
        <v>10</v>
      </c>
      <c r="J180" s="11">
        <v>29079.798999999999</v>
      </c>
      <c r="K180" s="11">
        <v>13234.005499999999</v>
      </c>
      <c r="L180" s="10" t="s">
        <v>17</v>
      </c>
      <c r="M180" s="5">
        <f t="shared" si="12"/>
        <v>2024</v>
      </c>
      <c r="N180" s="5">
        <f t="shared" si="13"/>
        <v>11</v>
      </c>
      <c r="O180" s="21">
        <f t="shared" si="14"/>
        <v>45597</v>
      </c>
      <c r="P180" s="13">
        <f t="shared" si="15"/>
        <v>0.45509274324764071</v>
      </c>
      <c r="Q180" s="5">
        <f t="shared" si="16"/>
        <v>202411</v>
      </c>
      <c r="R180" s="21">
        <f t="shared" si="17"/>
        <v>45597</v>
      </c>
    </row>
    <row r="181" spans="1:18" x14ac:dyDescent="0.25">
      <c r="A181" s="5" t="s">
        <v>418</v>
      </c>
      <c r="B181" s="14">
        <v>45949</v>
      </c>
      <c r="C181" s="5" t="s">
        <v>419</v>
      </c>
      <c r="D181" s="10" t="s">
        <v>37</v>
      </c>
      <c r="E181" s="10" t="s">
        <v>94</v>
      </c>
      <c r="F181" s="10" t="s">
        <v>75</v>
      </c>
      <c r="G181" s="15">
        <v>1</v>
      </c>
      <c r="H181" s="11">
        <v>1459.1946</v>
      </c>
      <c r="I181" s="12">
        <v>20</v>
      </c>
      <c r="J181" s="11">
        <v>1167.7341999999999</v>
      </c>
      <c r="K181" s="11">
        <v>259.28620000000001</v>
      </c>
      <c r="L181" s="10" t="s">
        <v>17</v>
      </c>
      <c r="M181" s="5">
        <f t="shared" si="12"/>
        <v>2025</v>
      </c>
      <c r="N181" s="5">
        <f t="shared" si="13"/>
        <v>10</v>
      </c>
      <c r="O181" s="21">
        <f t="shared" si="14"/>
        <v>45931</v>
      </c>
      <c r="P181" s="13">
        <f t="shared" si="15"/>
        <v>0.22204213938411674</v>
      </c>
      <c r="Q181" s="5">
        <f t="shared" si="16"/>
        <v>202510</v>
      </c>
      <c r="R181" s="21">
        <f t="shared" si="17"/>
        <v>45931</v>
      </c>
    </row>
    <row r="182" spans="1:18" x14ac:dyDescent="0.25">
      <c r="A182" s="5" t="s">
        <v>420</v>
      </c>
      <c r="B182" s="14">
        <v>45367</v>
      </c>
      <c r="C182" s="5" t="s">
        <v>421</v>
      </c>
      <c r="D182" s="10" t="s">
        <v>14</v>
      </c>
      <c r="E182" s="10" t="s">
        <v>94</v>
      </c>
      <c r="F182" s="10" t="s">
        <v>75</v>
      </c>
      <c r="G182" s="15">
        <v>4</v>
      </c>
      <c r="H182" s="11">
        <v>5626.6997999999994</v>
      </c>
      <c r="I182" s="12">
        <v>0</v>
      </c>
      <c r="J182" s="11">
        <v>22506.799199999998</v>
      </c>
      <c r="K182" s="11">
        <v>4666.2052999999996</v>
      </c>
      <c r="L182" s="10" t="s">
        <v>17</v>
      </c>
      <c r="M182" s="5">
        <f t="shared" si="12"/>
        <v>2024</v>
      </c>
      <c r="N182" s="5">
        <f t="shared" si="13"/>
        <v>3</v>
      </c>
      <c r="O182" s="21">
        <f t="shared" si="14"/>
        <v>45352</v>
      </c>
      <c r="P182" s="13">
        <f t="shared" si="15"/>
        <v>0.20732425159771276</v>
      </c>
      <c r="Q182" s="5">
        <f t="shared" si="16"/>
        <v>202403</v>
      </c>
      <c r="R182" s="21">
        <f t="shared" si="17"/>
        <v>45352</v>
      </c>
    </row>
    <row r="183" spans="1:18" x14ac:dyDescent="0.25">
      <c r="A183" s="5" t="s">
        <v>422</v>
      </c>
      <c r="B183" s="14">
        <v>45871</v>
      </c>
      <c r="C183" s="5" t="s">
        <v>423</v>
      </c>
      <c r="D183" s="10" t="s">
        <v>37</v>
      </c>
      <c r="E183" s="10" t="s">
        <v>136</v>
      </c>
      <c r="F183" s="10" t="s">
        <v>75</v>
      </c>
      <c r="G183" s="15">
        <v>1</v>
      </c>
      <c r="H183" s="11">
        <v>3113.3269999999998</v>
      </c>
      <c r="I183" s="12">
        <v>20</v>
      </c>
      <c r="J183" s="11">
        <v>2490.6615999999999</v>
      </c>
      <c r="K183" s="11">
        <v>615.09500000000003</v>
      </c>
      <c r="L183" s="10" t="s">
        <v>17</v>
      </c>
      <c r="M183" s="5">
        <f t="shared" si="12"/>
        <v>2025</v>
      </c>
      <c r="N183" s="5">
        <f t="shared" si="13"/>
        <v>8</v>
      </c>
      <c r="O183" s="21">
        <f t="shared" si="14"/>
        <v>45870</v>
      </c>
      <c r="P183" s="13">
        <f t="shared" si="15"/>
        <v>0.24696048632218848</v>
      </c>
      <c r="Q183" s="5">
        <f t="shared" si="16"/>
        <v>202508</v>
      </c>
      <c r="R183" s="21">
        <f t="shared" si="17"/>
        <v>45870</v>
      </c>
    </row>
    <row r="184" spans="1:18" x14ac:dyDescent="0.25">
      <c r="A184" s="5" t="s">
        <v>424</v>
      </c>
      <c r="B184" s="14">
        <v>45908</v>
      </c>
      <c r="C184" s="5" t="s">
        <v>425</v>
      </c>
      <c r="D184" s="10" t="s">
        <v>42</v>
      </c>
      <c r="E184" s="10" t="s">
        <v>133</v>
      </c>
      <c r="F184" s="10" t="s">
        <v>75</v>
      </c>
      <c r="G184" s="15">
        <v>5</v>
      </c>
      <c r="H184" s="11">
        <v>3488.0617999999999</v>
      </c>
      <c r="I184" s="12">
        <v>0</v>
      </c>
      <c r="J184" s="11">
        <v>17440.309000000001</v>
      </c>
      <c r="K184" s="11">
        <v>5449.7417000000005</v>
      </c>
      <c r="L184" s="10" t="s">
        <v>23</v>
      </c>
      <c r="M184" s="5">
        <f t="shared" si="12"/>
        <v>2025</v>
      </c>
      <c r="N184" s="5">
        <f t="shared" si="13"/>
        <v>9</v>
      </c>
      <c r="O184" s="21">
        <f t="shared" si="14"/>
        <v>45901</v>
      </c>
      <c r="P184" s="13">
        <f t="shared" si="15"/>
        <v>0.3124796527400977</v>
      </c>
      <c r="Q184" s="5">
        <f t="shared" si="16"/>
        <v>202509</v>
      </c>
      <c r="R184" s="21">
        <f t="shared" si="17"/>
        <v>45901</v>
      </c>
    </row>
    <row r="185" spans="1:18" x14ac:dyDescent="0.25">
      <c r="A185" s="5" t="s">
        <v>426</v>
      </c>
      <c r="B185" s="14">
        <v>45733</v>
      </c>
      <c r="C185" s="5" t="s">
        <v>427</v>
      </c>
      <c r="D185" s="10" t="s">
        <v>37</v>
      </c>
      <c r="E185" s="10" t="s">
        <v>27</v>
      </c>
      <c r="F185" s="10" t="s">
        <v>22</v>
      </c>
      <c r="G185" s="15">
        <v>1</v>
      </c>
      <c r="H185" s="11">
        <v>1712.8030000000001</v>
      </c>
      <c r="I185" s="12">
        <v>10</v>
      </c>
      <c r="J185" s="11">
        <v>1541.5226999999998</v>
      </c>
      <c r="K185" s="11">
        <v>951.03150000000005</v>
      </c>
      <c r="L185" s="10" t="s">
        <v>17</v>
      </c>
      <c r="M185" s="5">
        <f t="shared" si="12"/>
        <v>2025</v>
      </c>
      <c r="N185" s="5">
        <f t="shared" si="13"/>
        <v>3</v>
      </c>
      <c r="O185" s="21">
        <f t="shared" si="14"/>
        <v>45717</v>
      </c>
      <c r="P185" s="13">
        <f t="shared" si="15"/>
        <v>0.61694290976058941</v>
      </c>
      <c r="Q185" s="5">
        <f t="shared" si="16"/>
        <v>202503</v>
      </c>
      <c r="R185" s="21">
        <f t="shared" si="17"/>
        <v>45717</v>
      </c>
    </row>
    <row r="186" spans="1:18" x14ac:dyDescent="0.25">
      <c r="A186" s="5" t="s">
        <v>428</v>
      </c>
      <c r="B186" s="14">
        <v>45619</v>
      </c>
      <c r="C186" s="5" t="s">
        <v>429</v>
      </c>
      <c r="D186" s="10" t="s">
        <v>37</v>
      </c>
      <c r="E186" s="10" t="s">
        <v>187</v>
      </c>
      <c r="F186" s="10" t="s">
        <v>75</v>
      </c>
      <c r="G186" s="15">
        <v>1</v>
      </c>
      <c r="H186" s="11">
        <v>2502.0171999999998</v>
      </c>
      <c r="I186" s="12">
        <v>20</v>
      </c>
      <c r="J186" s="11">
        <v>2001.4244999999999</v>
      </c>
      <c r="K186" s="11">
        <v>618.88019999999995</v>
      </c>
      <c r="L186" s="10" t="s">
        <v>17</v>
      </c>
      <c r="M186" s="5">
        <f t="shared" si="12"/>
        <v>2024</v>
      </c>
      <c r="N186" s="5">
        <f t="shared" si="13"/>
        <v>11</v>
      </c>
      <c r="O186" s="21">
        <f t="shared" si="14"/>
        <v>45597</v>
      </c>
      <c r="P186" s="13">
        <f t="shared" si="15"/>
        <v>0.30921985815602837</v>
      </c>
      <c r="Q186" s="5">
        <f t="shared" si="16"/>
        <v>202411</v>
      </c>
      <c r="R186" s="21">
        <f t="shared" si="17"/>
        <v>45597</v>
      </c>
    </row>
    <row r="187" spans="1:18" x14ac:dyDescent="0.25">
      <c r="A187" s="5" t="s">
        <v>430</v>
      </c>
      <c r="B187" s="14">
        <v>45430</v>
      </c>
      <c r="C187" s="5" t="s">
        <v>431</v>
      </c>
      <c r="D187" s="10" t="s">
        <v>14</v>
      </c>
      <c r="E187" s="10" t="s">
        <v>108</v>
      </c>
      <c r="F187" s="10" t="s">
        <v>75</v>
      </c>
      <c r="G187" s="15">
        <v>3</v>
      </c>
      <c r="H187" s="11">
        <v>4733.3926000000001</v>
      </c>
      <c r="I187" s="12">
        <v>0</v>
      </c>
      <c r="J187" s="11">
        <v>14200.177799999999</v>
      </c>
      <c r="K187" s="11">
        <v>2264.4958999999999</v>
      </c>
      <c r="L187" s="10" t="s">
        <v>23</v>
      </c>
      <c r="M187" s="5">
        <f t="shared" si="12"/>
        <v>2024</v>
      </c>
      <c r="N187" s="5">
        <f t="shared" si="13"/>
        <v>5</v>
      </c>
      <c r="O187" s="21">
        <f t="shared" si="14"/>
        <v>45413</v>
      </c>
      <c r="P187" s="13">
        <f t="shared" si="15"/>
        <v>0.15946954551512729</v>
      </c>
      <c r="Q187" s="5">
        <f t="shared" si="16"/>
        <v>202405</v>
      </c>
      <c r="R187" s="21">
        <f t="shared" si="17"/>
        <v>45413</v>
      </c>
    </row>
    <row r="188" spans="1:18" x14ac:dyDescent="0.25">
      <c r="A188" s="5" t="s">
        <v>432</v>
      </c>
      <c r="B188" s="14">
        <v>45300</v>
      </c>
      <c r="C188" s="5" t="s">
        <v>433</v>
      </c>
      <c r="D188" s="10" t="s">
        <v>42</v>
      </c>
      <c r="E188" s="10" t="s">
        <v>33</v>
      </c>
      <c r="F188" s="10" t="s">
        <v>16</v>
      </c>
      <c r="G188" s="15">
        <v>2</v>
      </c>
      <c r="H188" s="11">
        <v>12670.010699999999</v>
      </c>
      <c r="I188" s="12">
        <v>5</v>
      </c>
      <c r="J188" s="11">
        <v>24072.925699999996</v>
      </c>
      <c r="K188" s="11">
        <v>5929.5157999999992</v>
      </c>
      <c r="L188" s="10" t="s">
        <v>17</v>
      </c>
      <c r="M188" s="5">
        <f t="shared" si="12"/>
        <v>2024</v>
      </c>
      <c r="N188" s="5">
        <f t="shared" si="13"/>
        <v>1</v>
      </c>
      <c r="O188" s="21">
        <f t="shared" si="14"/>
        <v>45292</v>
      </c>
      <c r="P188" s="13">
        <f t="shared" si="15"/>
        <v>0.24631471362868038</v>
      </c>
      <c r="Q188" s="5">
        <f t="shared" si="16"/>
        <v>202401</v>
      </c>
      <c r="R188" s="21">
        <f t="shared" si="17"/>
        <v>45292</v>
      </c>
    </row>
    <row r="189" spans="1:18" x14ac:dyDescent="0.25">
      <c r="A189" s="5" t="s">
        <v>434</v>
      </c>
      <c r="B189" s="14">
        <v>45920</v>
      </c>
      <c r="C189" s="5" t="s">
        <v>435</v>
      </c>
      <c r="D189" s="10" t="s">
        <v>37</v>
      </c>
      <c r="E189" s="10" t="s">
        <v>136</v>
      </c>
      <c r="F189" s="10" t="s">
        <v>75</v>
      </c>
      <c r="G189" s="15">
        <v>3</v>
      </c>
      <c r="H189" s="11">
        <v>1279.3976</v>
      </c>
      <c r="I189" s="12">
        <v>0</v>
      </c>
      <c r="J189" s="11">
        <v>3838.1927999999998</v>
      </c>
      <c r="K189" s="11">
        <v>1205.5862</v>
      </c>
      <c r="L189" s="10" t="s">
        <v>23</v>
      </c>
      <c r="M189" s="5">
        <f t="shared" si="12"/>
        <v>2025</v>
      </c>
      <c r="N189" s="5">
        <f t="shared" si="13"/>
        <v>9</v>
      </c>
      <c r="O189" s="21">
        <f t="shared" si="14"/>
        <v>45901</v>
      </c>
      <c r="P189" s="13">
        <f t="shared" si="15"/>
        <v>0.3141025641025641</v>
      </c>
      <c r="Q189" s="5">
        <f t="shared" si="16"/>
        <v>202509</v>
      </c>
      <c r="R189" s="21">
        <f t="shared" si="17"/>
        <v>45901</v>
      </c>
    </row>
    <row r="190" spans="1:18" x14ac:dyDescent="0.25">
      <c r="A190" s="5" t="s">
        <v>436</v>
      </c>
      <c r="B190" s="14">
        <v>45711</v>
      </c>
      <c r="C190" s="5" t="s">
        <v>437</v>
      </c>
      <c r="D190" s="10" t="s">
        <v>20</v>
      </c>
      <c r="E190" s="10" t="s">
        <v>314</v>
      </c>
      <c r="F190" s="10" t="s">
        <v>16</v>
      </c>
      <c r="G190" s="15">
        <v>2</v>
      </c>
      <c r="H190" s="11">
        <v>4158.9885000000004</v>
      </c>
      <c r="I190" s="12">
        <v>0</v>
      </c>
      <c r="J190" s="11">
        <v>8317.9770000000008</v>
      </c>
      <c r="K190" s="11">
        <v>1931.3982999999998</v>
      </c>
      <c r="L190" s="10" t="s">
        <v>17</v>
      </c>
      <c r="M190" s="5">
        <f t="shared" si="12"/>
        <v>2025</v>
      </c>
      <c r="N190" s="5">
        <f t="shared" si="13"/>
        <v>2</v>
      </c>
      <c r="O190" s="21">
        <f t="shared" si="14"/>
        <v>45689</v>
      </c>
      <c r="P190" s="13">
        <f t="shared" si="15"/>
        <v>0.23219567690557447</v>
      </c>
      <c r="Q190" s="5">
        <f t="shared" si="16"/>
        <v>202502</v>
      </c>
      <c r="R190" s="21">
        <f t="shared" si="17"/>
        <v>45689</v>
      </c>
    </row>
    <row r="191" spans="1:18" x14ac:dyDescent="0.25">
      <c r="A191" s="5" t="s">
        <v>438</v>
      </c>
      <c r="B191" s="14">
        <v>45775</v>
      </c>
      <c r="C191" s="5" t="s">
        <v>439</v>
      </c>
      <c r="D191" s="10" t="s">
        <v>20</v>
      </c>
      <c r="E191" s="10" t="s">
        <v>91</v>
      </c>
      <c r="F191" s="10" t="s">
        <v>49</v>
      </c>
      <c r="G191" s="15">
        <v>3</v>
      </c>
      <c r="H191" s="11">
        <v>5945.6028999999999</v>
      </c>
      <c r="I191" s="12">
        <v>5</v>
      </c>
      <c r="J191" s="11">
        <v>16945.394099999998</v>
      </c>
      <c r="K191" s="11">
        <v>8837.4956999999995</v>
      </c>
      <c r="L191" s="10" t="s">
        <v>17</v>
      </c>
      <c r="M191" s="5">
        <f t="shared" si="12"/>
        <v>2025</v>
      </c>
      <c r="N191" s="5">
        <f t="shared" si="13"/>
        <v>4</v>
      </c>
      <c r="O191" s="21">
        <f t="shared" si="14"/>
        <v>45748</v>
      </c>
      <c r="P191" s="13">
        <f t="shared" si="15"/>
        <v>0.52152789411961809</v>
      </c>
      <c r="Q191" s="5">
        <f t="shared" si="16"/>
        <v>202504</v>
      </c>
      <c r="R191" s="21">
        <f t="shared" si="17"/>
        <v>45748</v>
      </c>
    </row>
    <row r="192" spans="1:18" x14ac:dyDescent="0.25">
      <c r="A192" s="5" t="s">
        <v>440</v>
      </c>
      <c r="B192" s="14">
        <v>45402</v>
      </c>
      <c r="C192" s="5" t="s">
        <v>441</v>
      </c>
      <c r="D192" s="10" t="s">
        <v>42</v>
      </c>
      <c r="E192" s="10" t="s">
        <v>74</v>
      </c>
      <c r="F192" s="10" t="s">
        <v>75</v>
      </c>
      <c r="G192" s="15">
        <v>1</v>
      </c>
      <c r="H192" s="11">
        <v>2799.1553999999996</v>
      </c>
      <c r="I192" s="12">
        <v>10</v>
      </c>
      <c r="J192" s="11">
        <v>2519.0506</v>
      </c>
      <c r="K192" s="11">
        <v>531.82060000000001</v>
      </c>
      <c r="L192" s="10" t="s">
        <v>17</v>
      </c>
      <c r="M192" s="5">
        <f t="shared" si="12"/>
        <v>2024</v>
      </c>
      <c r="N192" s="5">
        <f t="shared" si="13"/>
        <v>4</v>
      </c>
      <c r="O192" s="21">
        <f t="shared" si="14"/>
        <v>45383</v>
      </c>
      <c r="P192" s="13">
        <f t="shared" si="15"/>
        <v>0.21111945905334337</v>
      </c>
      <c r="Q192" s="5">
        <f t="shared" si="16"/>
        <v>202404</v>
      </c>
      <c r="R192" s="21">
        <f t="shared" si="17"/>
        <v>45383</v>
      </c>
    </row>
    <row r="193" spans="1:18" x14ac:dyDescent="0.25">
      <c r="A193" s="5" t="s">
        <v>442</v>
      </c>
      <c r="B193" s="14">
        <v>45556</v>
      </c>
      <c r="C193" s="5" t="s">
        <v>443</v>
      </c>
      <c r="D193" s="10" t="s">
        <v>14</v>
      </c>
      <c r="E193" s="10" t="s">
        <v>154</v>
      </c>
      <c r="F193" s="10" t="s">
        <v>39</v>
      </c>
      <c r="G193" s="15">
        <v>2</v>
      </c>
      <c r="H193" s="11">
        <v>2355.3406999999997</v>
      </c>
      <c r="I193" s="12">
        <v>0</v>
      </c>
      <c r="J193" s="11">
        <v>4710.6813999999995</v>
      </c>
      <c r="K193" s="11">
        <v>1413.7721999999999</v>
      </c>
      <c r="L193" s="10" t="s">
        <v>17</v>
      </c>
      <c r="M193" s="5">
        <f t="shared" si="12"/>
        <v>2024</v>
      </c>
      <c r="N193" s="5">
        <f t="shared" si="13"/>
        <v>9</v>
      </c>
      <c r="O193" s="21">
        <f t="shared" si="14"/>
        <v>45536</v>
      </c>
      <c r="P193" s="13">
        <f t="shared" si="15"/>
        <v>0.30012053033346725</v>
      </c>
      <c r="Q193" s="5">
        <f t="shared" si="16"/>
        <v>202409</v>
      </c>
      <c r="R193" s="21">
        <f t="shared" si="17"/>
        <v>45536</v>
      </c>
    </row>
    <row r="194" spans="1:18" x14ac:dyDescent="0.25">
      <c r="A194" s="5" t="s">
        <v>444</v>
      </c>
      <c r="B194" s="14">
        <v>45917</v>
      </c>
      <c r="C194" s="5" t="s">
        <v>445</v>
      </c>
      <c r="D194" s="10" t="s">
        <v>37</v>
      </c>
      <c r="E194" s="10" t="s">
        <v>309</v>
      </c>
      <c r="F194" s="10" t="s">
        <v>75</v>
      </c>
      <c r="G194" s="15">
        <v>1</v>
      </c>
      <c r="H194" s="11">
        <v>1507.4558999999999</v>
      </c>
      <c r="I194" s="12">
        <v>0</v>
      </c>
      <c r="J194" s="11">
        <v>1507.4558999999999</v>
      </c>
      <c r="K194" s="11">
        <v>401.2312</v>
      </c>
      <c r="L194" s="10" t="s">
        <v>23</v>
      </c>
      <c r="M194" s="5">
        <f t="shared" ref="M194:M257" si="18">YEAR(B194)</f>
        <v>2025</v>
      </c>
      <c r="N194" s="5">
        <f t="shared" ref="N194:N257" si="19">MONTH(B194)</f>
        <v>9</v>
      </c>
      <c r="O194" s="21">
        <f t="shared" ref="O194:O257" si="20">DATE(YEAR(B194),MONTH(B194),1)</f>
        <v>45901</v>
      </c>
      <c r="P194" s="13">
        <f t="shared" ref="P194:P257" si="21">(K194/J194)</f>
        <v>0.26616446955430006</v>
      </c>
      <c r="Q194" s="5">
        <f t="shared" ref="Q194:Q257" si="22">YEAR(B194)*100+MONTH(B194)</f>
        <v>202509</v>
      </c>
      <c r="R194" s="21">
        <f t="shared" ref="R194:R257" si="23">DATE(YEAR(B194),MONTH(B194),1)</f>
        <v>45901</v>
      </c>
    </row>
    <row r="195" spans="1:18" x14ac:dyDescent="0.25">
      <c r="A195" s="5" t="s">
        <v>446</v>
      </c>
      <c r="B195" s="14">
        <v>45810</v>
      </c>
      <c r="C195" s="5" t="s">
        <v>447</v>
      </c>
      <c r="D195" s="10" t="s">
        <v>14</v>
      </c>
      <c r="E195" s="10" t="s">
        <v>27</v>
      </c>
      <c r="F195" s="10" t="s">
        <v>22</v>
      </c>
      <c r="G195" s="15">
        <v>2</v>
      </c>
      <c r="H195" s="11">
        <v>2354.3943999999997</v>
      </c>
      <c r="I195" s="12">
        <v>0</v>
      </c>
      <c r="J195" s="11">
        <v>4708.7887999999994</v>
      </c>
      <c r="K195" s="11">
        <v>2164.1880999999998</v>
      </c>
      <c r="L195" s="10" t="s">
        <v>23</v>
      </c>
      <c r="M195" s="5">
        <f t="shared" si="18"/>
        <v>2025</v>
      </c>
      <c r="N195" s="5">
        <f t="shared" si="19"/>
        <v>6</v>
      </c>
      <c r="O195" s="21">
        <f t="shared" si="20"/>
        <v>45809</v>
      </c>
      <c r="P195" s="13">
        <f t="shared" si="21"/>
        <v>0.45960610932475887</v>
      </c>
      <c r="Q195" s="5">
        <f t="shared" si="22"/>
        <v>202506</v>
      </c>
      <c r="R195" s="21">
        <f t="shared" si="23"/>
        <v>45809</v>
      </c>
    </row>
    <row r="196" spans="1:18" x14ac:dyDescent="0.25">
      <c r="A196" s="5" t="s">
        <v>448</v>
      </c>
      <c r="B196" s="14">
        <v>45605</v>
      </c>
      <c r="C196" s="5" t="s">
        <v>449</v>
      </c>
      <c r="D196" s="10" t="s">
        <v>20</v>
      </c>
      <c r="E196" s="10" t="s">
        <v>148</v>
      </c>
      <c r="F196" s="10" t="s">
        <v>16</v>
      </c>
      <c r="G196" s="15">
        <v>4</v>
      </c>
      <c r="H196" s="11">
        <v>7865.6455999999998</v>
      </c>
      <c r="I196" s="12">
        <v>10</v>
      </c>
      <c r="J196" s="11">
        <v>28316.134900000001</v>
      </c>
      <c r="K196" s="11">
        <v>6405.5046999999995</v>
      </c>
      <c r="L196" s="10" t="s">
        <v>23</v>
      </c>
      <c r="M196" s="5">
        <f t="shared" si="18"/>
        <v>2024</v>
      </c>
      <c r="N196" s="5">
        <f t="shared" si="19"/>
        <v>11</v>
      </c>
      <c r="O196" s="21">
        <f t="shared" si="20"/>
        <v>45597</v>
      </c>
      <c r="P196" s="13">
        <f t="shared" si="21"/>
        <v>0.226213949136116</v>
      </c>
      <c r="Q196" s="5">
        <f t="shared" si="22"/>
        <v>202411</v>
      </c>
      <c r="R196" s="21">
        <f t="shared" si="23"/>
        <v>45597</v>
      </c>
    </row>
    <row r="197" spans="1:18" x14ac:dyDescent="0.25">
      <c r="A197" s="5" t="s">
        <v>450</v>
      </c>
      <c r="B197" s="14">
        <v>45315</v>
      </c>
      <c r="C197" s="5" t="s">
        <v>451</v>
      </c>
      <c r="D197" s="10" t="s">
        <v>37</v>
      </c>
      <c r="E197" s="10" t="s">
        <v>74</v>
      </c>
      <c r="F197" s="10" t="s">
        <v>75</v>
      </c>
      <c r="G197" s="15">
        <v>1</v>
      </c>
      <c r="H197" s="11">
        <v>5333.3467999999993</v>
      </c>
      <c r="I197" s="12">
        <v>10</v>
      </c>
      <c r="J197" s="11">
        <v>4799.6336000000001</v>
      </c>
      <c r="K197" s="11">
        <v>1172.4657</v>
      </c>
      <c r="L197" s="10" t="s">
        <v>17</v>
      </c>
      <c r="M197" s="5">
        <f t="shared" si="18"/>
        <v>2024</v>
      </c>
      <c r="N197" s="5">
        <f t="shared" si="19"/>
        <v>1</v>
      </c>
      <c r="O197" s="21">
        <f t="shared" si="20"/>
        <v>45292</v>
      </c>
      <c r="P197" s="13">
        <f t="shared" si="21"/>
        <v>0.24428233438485802</v>
      </c>
      <c r="Q197" s="5">
        <f t="shared" si="22"/>
        <v>202401</v>
      </c>
      <c r="R197" s="21">
        <f t="shared" si="23"/>
        <v>45292</v>
      </c>
    </row>
    <row r="198" spans="1:18" x14ac:dyDescent="0.25">
      <c r="A198" s="5" t="s">
        <v>452</v>
      </c>
      <c r="B198" s="14">
        <v>45972</v>
      </c>
      <c r="C198" s="5" t="s">
        <v>453</v>
      </c>
      <c r="D198" s="10" t="s">
        <v>14</v>
      </c>
      <c r="E198" s="10" t="s">
        <v>177</v>
      </c>
      <c r="F198" s="10" t="s">
        <v>49</v>
      </c>
      <c r="G198" s="15">
        <v>3</v>
      </c>
      <c r="H198" s="11">
        <v>4759.8889999999992</v>
      </c>
      <c r="I198" s="12">
        <v>5</v>
      </c>
      <c r="J198" s="11">
        <v>13565.210499999999</v>
      </c>
      <c r="K198" s="11">
        <v>4749.4796999999999</v>
      </c>
      <c r="L198" s="10" t="s">
        <v>17</v>
      </c>
      <c r="M198" s="5">
        <f t="shared" si="18"/>
        <v>2025</v>
      </c>
      <c r="N198" s="5">
        <f t="shared" si="19"/>
        <v>11</v>
      </c>
      <c r="O198" s="21">
        <f t="shared" si="20"/>
        <v>45962</v>
      </c>
      <c r="P198" s="13">
        <f t="shared" si="21"/>
        <v>0.35012207882804325</v>
      </c>
      <c r="Q198" s="5">
        <f t="shared" si="22"/>
        <v>202511</v>
      </c>
      <c r="R198" s="21">
        <f t="shared" si="23"/>
        <v>45962</v>
      </c>
    </row>
    <row r="199" spans="1:18" x14ac:dyDescent="0.25">
      <c r="A199" s="5" t="s">
        <v>454</v>
      </c>
      <c r="B199" s="14">
        <v>45876</v>
      </c>
      <c r="C199" s="5" t="s">
        <v>455</v>
      </c>
      <c r="D199" s="10" t="s">
        <v>20</v>
      </c>
      <c r="E199" s="10" t="s">
        <v>136</v>
      </c>
      <c r="F199" s="10" t="s">
        <v>75</v>
      </c>
      <c r="G199" s="15">
        <v>1</v>
      </c>
      <c r="H199" s="11">
        <v>3926.1986999999999</v>
      </c>
      <c r="I199" s="12">
        <v>0</v>
      </c>
      <c r="J199" s="11">
        <v>3926.1986999999999</v>
      </c>
      <c r="K199" s="11">
        <v>1233.0288999999998</v>
      </c>
      <c r="L199" s="10" t="s">
        <v>17</v>
      </c>
      <c r="M199" s="5">
        <f t="shared" si="18"/>
        <v>2025</v>
      </c>
      <c r="N199" s="5">
        <f t="shared" si="19"/>
        <v>8</v>
      </c>
      <c r="O199" s="21">
        <f t="shared" si="20"/>
        <v>45870</v>
      </c>
      <c r="P199" s="13">
        <f t="shared" si="21"/>
        <v>0.31405157869366107</v>
      </c>
      <c r="Q199" s="5">
        <f t="shared" si="22"/>
        <v>202508</v>
      </c>
      <c r="R199" s="21">
        <f t="shared" si="23"/>
        <v>45870</v>
      </c>
    </row>
    <row r="200" spans="1:18" x14ac:dyDescent="0.25">
      <c r="A200" s="5" t="s">
        <v>456</v>
      </c>
      <c r="B200" s="14">
        <v>45873</v>
      </c>
      <c r="C200" s="5" t="s">
        <v>457</v>
      </c>
      <c r="D200" s="10" t="s">
        <v>20</v>
      </c>
      <c r="E200" s="10" t="s">
        <v>246</v>
      </c>
      <c r="F200" s="10" t="s">
        <v>75</v>
      </c>
      <c r="G200" s="15">
        <v>1</v>
      </c>
      <c r="H200" s="11">
        <v>1368.3498</v>
      </c>
      <c r="I200" s="12">
        <v>0</v>
      </c>
      <c r="J200" s="11">
        <v>1368.3498</v>
      </c>
      <c r="K200" s="11">
        <v>258.3399</v>
      </c>
      <c r="L200" s="10" t="s">
        <v>23</v>
      </c>
      <c r="M200" s="5">
        <f t="shared" si="18"/>
        <v>2025</v>
      </c>
      <c r="N200" s="5">
        <f t="shared" si="19"/>
        <v>8</v>
      </c>
      <c r="O200" s="21">
        <f t="shared" si="20"/>
        <v>45870</v>
      </c>
      <c r="P200" s="13">
        <f t="shared" si="21"/>
        <v>0.18879668049792531</v>
      </c>
      <c r="Q200" s="5">
        <f t="shared" si="22"/>
        <v>202508</v>
      </c>
      <c r="R200" s="21">
        <f t="shared" si="23"/>
        <v>45870</v>
      </c>
    </row>
    <row r="201" spans="1:18" x14ac:dyDescent="0.25">
      <c r="A201" s="5" t="s">
        <v>458</v>
      </c>
      <c r="B201" s="14">
        <v>45605</v>
      </c>
      <c r="C201" s="5" t="s">
        <v>459</v>
      </c>
      <c r="D201" s="10" t="s">
        <v>20</v>
      </c>
      <c r="E201" s="10" t="s">
        <v>460</v>
      </c>
      <c r="F201" s="10" t="s">
        <v>75</v>
      </c>
      <c r="G201" s="15">
        <v>2</v>
      </c>
      <c r="H201" s="11">
        <v>3576.0676999999996</v>
      </c>
      <c r="I201" s="12">
        <v>5</v>
      </c>
      <c r="J201" s="11">
        <v>6794.4339999999993</v>
      </c>
      <c r="K201" s="11">
        <v>1794.1848</v>
      </c>
      <c r="L201" s="10" t="s">
        <v>17</v>
      </c>
      <c r="M201" s="5">
        <f t="shared" si="18"/>
        <v>2024</v>
      </c>
      <c r="N201" s="5">
        <f t="shared" si="19"/>
        <v>11</v>
      </c>
      <c r="O201" s="21">
        <f t="shared" si="20"/>
        <v>45597</v>
      </c>
      <c r="P201" s="13">
        <f t="shared" si="21"/>
        <v>0.26406685236768807</v>
      </c>
      <c r="Q201" s="5">
        <f t="shared" si="22"/>
        <v>202411</v>
      </c>
      <c r="R201" s="21">
        <f t="shared" si="23"/>
        <v>45597</v>
      </c>
    </row>
    <row r="202" spans="1:18" x14ac:dyDescent="0.25">
      <c r="A202" s="5" t="s">
        <v>461</v>
      </c>
      <c r="B202" s="14">
        <v>45567</v>
      </c>
      <c r="C202" s="5" t="s">
        <v>29</v>
      </c>
      <c r="D202" s="10" t="s">
        <v>14</v>
      </c>
      <c r="E202" s="10" t="s">
        <v>15</v>
      </c>
      <c r="F202" s="10" t="s">
        <v>16</v>
      </c>
      <c r="G202" s="15">
        <v>1</v>
      </c>
      <c r="H202" s="11">
        <v>10224.771499999999</v>
      </c>
      <c r="I202" s="12">
        <v>5</v>
      </c>
      <c r="J202" s="11">
        <v>9713.7695000000003</v>
      </c>
      <c r="K202" s="11">
        <v>2422.5279999999998</v>
      </c>
      <c r="L202" s="10" t="s">
        <v>17</v>
      </c>
      <c r="M202" s="5">
        <f t="shared" si="18"/>
        <v>2024</v>
      </c>
      <c r="N202" s="5">
        <f t="shared" si="19"/>
        <v>10</v>
      </c>
      <c r="O202" s="21">
        <f t="shared" si="20"/>
        <v>45566</v>
      </c>
      <c r="P202" s="13">
        <f t="shared" si="21"/>
        <v>0.24939113492450071</v>
      </c>
      <c r="Q202" s="5">
        <f t="shared" si="22"/>
        <v>202410</v>
      </c>
      <c r="R202" s="21">
        <f t="shared" si="23"/>
        <v>45566</v>
      </c>
    </row>
    <row r="203" spans="1:18" x14ac:dyDescent="0.25">
      <c r="A203" s="5" t="s">
        <v>462</v>
      </c>
      <c r="B203" s="14">
        <v>45775</v>
      </c>
      <c r="C203" s="5" t="s">
        <v>463</v>
      </c>
      <c r="D203" s="10" t="s">
        <v>14</v>
      </c>
      <c r="E203" s="10" t="s">
        <v>151</v>
      </c>
      <c r="F203" s="10" t="s">
        <v>39</v>
      </c>
      <c r="G203" s="15">
        <v>1</v>
      </c>
      <c r="H203" s="11">
        <v>7444.5420999999997</v>
      </c>
      <c r="I203" s="12">
        <v>10</v>
      </c>
      <c r="J203" s="11">
        <v>6699.8039999999992</v>
      </c>
      <c r="K203" s="11">
        <v>1931.3982999999998</v>
      </c>
      <c r="L203" s="10" t="s">
        <v>17</v>
      </c>
      <c r="M203" s="5">
        <f t="shared" si="18"/>
        <v>2025</v>
      </c>
      <c r="N203" s="5">
        <f t="shared" si="19"/>
        <v>4</v>
      </c>
      <c r="O203" s="21">
        <f t="shared" si="20"/>
        <v>45748</v>
      </c>
      <c r="P203" s="13">
        <f t="shared" si="21"/>
        <v>0.28827683615819211</v>
      </c>
      <c r="Q203" s="5">
        <f t="shared" si="22"/>
        <v>202504</v>
      </c>
      <c r="R203" s="21">
        <f t="shared" si="23"/>
        <v>45748</v>
      </c>
    </row>
    <row r="204" spans="1:18" x14ac:dyDescent="0.25">
      <c r="A204" s="5" t="s">
        <v>464</v>
      </c>
      <c r="B204" s="14">
        <v>45868</v>
      </c>
      <c r="C204" s="5" t="s">
        <v>465</v>
      </c>
      <c r="D204" s="10" t="s">
        <v>26</v>
      </c>
      <c r="E204" s="10" t="s">
        <v>55</v>
      </c>
      <c r="F204" s="10" t="s">
        <v>16</v>
      </c>
      <c r="G204" s="15">
        <v>2</v>
      </c>
      <c r="H204" s="11">
        <v>6780.2395000000006</v>
      </c>
      <c r="I204" s="12">
        <v>0</v>
      </c>
      <c r="J204" s="11">
        <v>13560.479000000001</v>
      </c>
      <c r="K204" s="11">
        <v>1659.8101999999999</v>
      </c>
      <c r="L204" s="10" t="s">
        <v>23</v>
      </c>
      <c r="M204" s="5">
        <f t="shared" si="18"/>
        <v>2025</v>
      </c>
      <c r="N204" s="5">
        <f t="shared" si="19"/>
        <v>7</v>
      </c>
      <c r="O204" s="21">
        <f t="shared" si="20"/>
        <v>45839</v>
      </c>
      <c r="P204" s="13">
        <f t="shared" si="21"/>
        <v>0.12240055826936495</v>
      </c>
      <c r="Q204" s="5">
        <f t="shared" si="22"/>
        <v>202507</v>
      </c>
      <c r="R204" s="21">
        <f t="shared" si="23"/>
        <v>45839</v>
      </c>
    </row>
    <row r="205" spans="1:18" x14ac:dyDescent="0.25">
      <c r="A205" s="5" t="s">
        <v>466</v>
      </c>
      <c r="B205" s="14">
        <v>45469</v>
      </c>
      <c r="C205" s="5" t="s">
        <v>467</v>
      </c>
      <c r="D205" s="10" t="s">
        <v>42</v>
      </c>
      <c r="E205" s="10" t="s">
        <v>61</v>
      </c>
      <c r="F205" s="10" t="s">
        <v>39</v>
      </c>
      <c r="G205" s="15">
        <v>1</v>
      </c>
      <c r="H205" s="11">
        <v>5918.1601999999993</v>
      </c>
      <c r="I205" s="12">
        <v>25</v>
      </c>
      <c r="J205" s="11">
        <v>4439.0932999999995</v>
      </c>
      <c r="K205" s="11">
        <v>1119.4729</v>
      </c>
      <c r="L205" s="10" t="s">
        <v>17</v>
      </c>
      <c r="M205" s="5">
        <f t="shared" si="18"/>
        <v>2024</v>
      </c>
      <c r="N205" s="5">
        <f t="shared" si="19"/>
        <v>6</v>
      </c>
      <c r="O205" s="21">
        <f t="shared" si="20"/>
        <v>45444</v>
      </c>
      <c r="P205" s="13">
        <f t="shared" si="21"/>
        <v>0.25218503517373697</v>
      </c>
      <c r="Q205" s="5">
        <f t="shared" si="22"/>
        <v>202406</v>
      </c>
      <c r="R205" s="21">
        <f t="shared" si="23"/>
        <v>45444</v>
      </c>
    </row>
    <row r="206" spans="1:18" x14ac:dyDescent="0.25">
      <c r="A206" s="5" t="s">
        <v>468</v>
      </c>
      <c r="B206" s="14">
        <v>45887</v>
      </c>
      <c r="C206" s="5" t="s">
        <v>469</v>
      </c>
      <c r="D206" s="10" t="s">
        <v>20</v>
      </c>
      <c r="E206" s="10" t="s">
        <v>105</v>
      </c>
      <c r="F206" s="10" t="s">
        <v>39</v>
      </c>
      <c r="G206" s="15">
        <v>1</v>
      </c>
      <c r="H206" s="11">
        <v>4524.2602999999999</v>
      </c>
      <c r="I206" s="12">
        <v>10</v>
      </c>
      <c r="J206" s="11">
        <v>4071.9288999999999</v>
      </c>
      <c r="K206" s="11">
        <v>1242.4919</v>
      </c>
      <c r="L206" s="10" t="s">
        <v>17</v>
      </c>
      <c r="M206" s="5">
        <f t="shared" si="18"/>
        <v>2025</v>
      </c>
      <c r="N206" s="5">
        <f t="shared" si="19"/>
        <v>8</v>
      </c>
      <c r="O206" s="21">
        <f t="shared" si="20"/>
        <v>45870</v>
      </c>
      <c r="P206" s="13">
        <f t="shared" si="21"/>
        <v>0.30513595166163143</v>
      </c>
      <c r="Q206" s="5">
        <f t="shared" si="22"/>
        <v>202508</v>
      </c>
      <c r="R206" s="21">
        <f t="shared" si="23"/>
        <v>45870</v>
      </c>
    </row>
    <row r="207" spans="1:18" x14ac:dyDescent="0.25">
      <c r="A207" s="5" t="s">
        <v>470</v>
      </c>
      <c r="B207" s="14">
        <v>45629</v>
      </c>
      <c r="C207" s="5" t="s">
        <v>471</v>
      </c>
      <c r="D207" s="10" t="s">
        <v>42</v>
      </c>
      <c r="E207" s="10" t="s">
        <v>21</v>
      </c>
      <c r="F207" s="10" t="s">
        <v>22</v>
      </c>
      <c r="G207" s="15">
        <v>5</v>
      </c>
      <c r="H207" s="11">
        <v>2741.4310999999998</v>
      </c>
      <c r="I207" s="12">
        <v>20</v>
      </c>
      <c r="J207" s="11">
        <v>10965.724399999999</v>
      </c>
      <c r="K207" s="11">
        <v>6533.2552000000005</v>
      </c>
      <c r="L207" s="10" t="s">
        <v>17</v>
      </c>
      <c r="M207" s="5">
        <f t="shared" si="18"/>
        <v>2024</v>
      </c>
      <c r="N207" s="5">
        <f t="shared" si="19"/>
        <v>12</v>
      </c>
      <c r="O207" s="21">
        <f t="shared" si="20"/>
        <v>45627</v>
      </c>
      <c r="P207" s="13">
        <f t="shared" si="21"/>
        <v>0.59578874697963424</v>
      </c>
      <c r="Q207" s="5">
        <f t="shared" si="22"/>
        <v>202412</v>
      </c>
      <c r="R207" s="21">
        <f t="shared" si="23"/>
        <v>45627</v>
      </c>
    </row>
    <row r="208" spans="1:18" x14ac:dyDescent="0.25">
      <c r="A208" s="5" t="s">
        <v>472</v>
      </c>
      <c r="B208" s="14">
        <v>45906</v>
      </c>
      <c r="C208" s="5" t="s">
        <v>473</v>
      </c>
      <c r="D208" s="10" t="s">
        <v>20</v>
      </c>
      <c r="E208" s="10" t="s">
        <v>309</v>
      </c>
      <c r="F208" s="10" t="s">
        <v>75</v>
      </c>
      <c r="G208" s="15">
        <v>1</v>
      </c>
      <c r="H208" s="11">
        <v>3569.4435999999996</v>
      </c>
      <c r="I208" s="12">
        <v>20</v>
      </c>
      <c r="J208" s="11">
        <v>2855.9333999999999</v>
      </c>
      <c r="K208" s="11">
        <v>638.75249999999994</v>
      </c>
      <c r="L208" s="10" t="s">
        <v>17</v>
      </c>
      <c r="M208" s="5">
        <f t="shared" si="18"/>
        <v>2025</v>
      </c>
      <c r="N208" s="5">
        <f t="shared" si="19"/>
        <v>9</v>
      </c>
      <c r="O208" s="21">
        <f t="shared" si="20"/>
        <v>45901</v>
      </c>
      <c r="P208" s="13">
        <f t="shared" si="21"/>
        <v>0.22365805168986083</v>
      </c>
      <c r="Q208" s="5">
        <f t="shared" si="22"/>
        <v>202509</v>
      </c>
      <c r="R208" s="21">
        <f t="shared" si="23"/>
        <v>45901</v>
      </c>
    </row>
    <row r="209" spans="1:18" x14ac:dyDescent="0.25">
      <c r="A209" s="5" t="s">
        <v>474</v>
      </c>
      <c r="B209" s="14">
        <v>45325</v>
      </c>
      <c r="C209" s="5" t="s">
        <v>475</v>
      </c>
      <c r="D209" s="10" t="s">
        <v>14</v>
      </c>
      <c r="E209" s="10" t="s">
        <v>314</v>
      </c>
      <c r="F209" s="10" t="s">
        <v>16</v>
      </c>
      <c r="G209" s="15">
        <v>1</v>
      </c>
      <c r="H209" s="11">
        <v>11524.0414</v>
      </c>
      <c r="I209" s="12">
        <v>5</v>
      </c>
      <c r="J209" s="11">
        <v>10947.744699999999</v>
      </c>
      <c r="K209" s="11">
        <v>1374.9739</v>
      </c>
      <c r="L209" s="10" t="s">
        <v>23</v>
      </c>
      <c r="M209" s="5">
        <f t="shared" si="18"/>
        <v>2024</v>
      </c>
      <c r="N209" s="5">
        <f t="shared" si="19"/>
        <v>2</v>
      </c>
      <c r="O209" s="21">
        <f t="shared" si="20"/>
        <v>45323</v>
      </c>
      <c r="P209" s="13">
        <f t="shared" si="21"/>
        <v>0.12559426052381364</v>
      </c>
      <c r="Q209" s="5">
        <f t="shared" si="22"/>
        <v>202402</v>
      </c>
      <c r="R209" s="21">
        <f t="shared" si="23"/>
        <v>45323</v>
      </c>
    </row>
    <row r="210" spans="1:18" x14ac:dyDescent="0.25">
      <c r="A210" s="5" t="s">
        <v>476</v>
      </c>
      <c r="B210" s="14">
        <v>45942</v>
      </c>
      <c r="C210" s="5" t="s">
        <v>477</v>
      </c>
      <c r="D210" s="10" t="s">
        <v>37</v>
      </c>
      <c r="E210" s="10" t="s">
        <v>148</v>
      </c>
      <c r="F210" s="10" t="s">
        <v>16</v>
      </c>
      <c r="G210" s="15">
        <v>1</v>
      </c>
      <c r="H210" s="11">
        <v>2444.2928999999999</v>
      </c>
      <c r="I210" s="12">
        <v>0</v>
      </c>
      <c r="J210" s="11">
        <v>2444.2928999999999</v>
      </c>
      <c r="K210" s="11">
        <v>214.81009999999998</v>
      </c>
      <c r="L210" s="10" t="s">
        <v>23</v>
      </c>
      <c r="M210" s="5">
        <f t="shared" si="18"/>
        <v>2025</v>
      </c>
      <c r="N210" s="5">
        <f t="shared" si="19"/>
        <v>10</v>
      </c>
      <c r="O210" s="21">
        <f t="shared" si="20"/>
        <v>45931</v>
      </c>
      <c r="P210" s="13">
        <f t="shared" si="21"/>
        <v>8.7882307394502507E-2</v>
      </c>
      <c r="Q210" s="5">
        <f t="shared" si="22"/>
        <v>202510</v>
      </c>
      <c r="R210" s="21">
        <f t="shared" si="23"/>
        <v>45931</v>
      </c>
    </row>
    <row r="211" spans="1:18" x14ac:dyDescent="0.25">
      <c r="A211" s="5" t="s">
        <v>478</v>
      </c>
      <c r="B211" s="14">
        <v>45361</v>
      </c>
      <c r="C211" s="5" t="s">
        <v>479</v>
      </c>
      <c r="D211" s="10" t="s">
        <v>14</v>
      </c>
      <c r="E211" s="10" t="s">
        <v>105</v>
      </c>
      <c r="F211" s="10" t="s">
        <v>39</v>
      </c>
      <c r="G211" s="15">
        <v>1</v>
      </c>
      <c r="H211" s="11">
        <v>1498.9392</v>
      </c>
      <c r="I211" s="12">
        <v>0</v>
      </c>
      <c r="J211" s="11">
        <v>1498.9392</v>
      </c>
      <c r="K211" s="11">
        <v>530.87429999999995</v>
      </c>
      <c r="L211" s="10" t="s">
        <v>17</v>
      </c>
      <c r="M211" s="5">
        <f t="shared" si="18"/>
        <v>2024</v>
      </c>
      <c r="N211" s="5">
        <f t="shared" si="19"/>
        <v>3</v>
      </c>
      <c r="O211" s="21">
        <f t="shared" si="20"/>
        <v>45352</v>
      </c>
      <c r="P211" s="13">
        <f t="shared" si="21"/>
        <v>0.35416666666666663</v>
      </c>
      <c r="Q211" s="5">
        <f t="shared" si="22"/>
        <v>202403</v>
      </c>
      <c r="R211" s="21">
        <f t="shared" si="23"/>
        <v>45352</v>
      </c>
    </row>
    <row r="212" spans="1:18" x14ac:dyDescent="0.25">
      <c r="A212" s="5" t="s">
        <v>480</v>
      </c>
      <c r="B212" s="14">
        <v>45854</v>
      </c>
      <c r="C212" s="5" t="s">
        <v>481</v>
      </c>
      <c r="D212" s="10" t="s">
        <v>26</v>
      </c>
      <c r="E212" s="10" t="s">
        <v>21</v>
      </c>
      <c r="F212" s="10" t="s">
        <v>22</v>
      </c>
      <c r="G212" s="15">
        <v>5</v>
      </c>
      <c r="H212" s="11">
        <v>3285.5535999999997</v>
      </c>
      <c r="I212" s="12">
        <v>10</v>
      </c>
      <c r="J212" s="11">
        <v>14784.9912</v>
      </c>
      <c r="K212" s="11">
        <v>6629.7777999999998</v>
      </c>
      <c r="L212" s="10" t="s">
        <v>23</v>
      </c>
      <c r="M212" s="5">
        <f t="shared" si="18"/>
        <v>2025</v>
      </c>
      <c r="N212" s="5">
        <f t="shared" si="19"/>
        <v>7</v>
      </c>
      <c r="O212" s="21">
        <f t="shared" si="20"/>
        <v>45839</v>
      </c>
      <c r="P212" s="13">
        <f t="shared" si="21"/>
        <v>0.44841269841269837</v>
      </c>
      <c r="Q212" s="5">
        <f t="shared" si="22"/>
        <v>202507</v>
      </c>
      <c r="R212" s="21">
        <f t="shared" si="23"/>
        <v>45839</v>
      </c>
    </row>
    <row r="213" spans="1:18" x14ac:dyDescent="0.25">
      <c r="A213" s="5" t="s">
        <v>482</v>
      </c>
      <c r="B213" s="14">
        <v>45333</v>
      </c>
      <c r="C213" s="5" t="s">
        <v>483</v>
      </c>
      <c r="D213" s="10" t="s">
        <v>37</v>
      </c>
      <c r="E213" s="10" t="s">
        <v>148</v>
      </c>
      <c r="F213" s="10" t="s">
        <v>16</v>
      </c>
      <c r="G213" s="15">
        <v>1</v>
      </c>
      <c r="H213" s="11">
        <v>8514.8073999999997</v>
      </c>
      <c r="I213" s="12">
        <v>0</v>
      </c>
      <c r="J213" s="11">
        <v>8514.8073999999997</v>
      </c>
      <c r="K213" s="11">
        <v>1084.4598000000001</v>
      </c>
      <c r="L213" s="10" t="s">
        <v>17</v>
      </c>
      <c r="M213" s="5">
        <f t="shared" si="18"/>
        <v>2024</v>
      </c>
      <c r="N213" s="5">
        <f t="shared" si="19"/>
        <v>2</v>
      </c>
      <c r="O213" s="21">
        <f t="shared" si="20"/>
        <v>45323</v>
      </c>
      <c r="P213" s="13">
        <f t="shared" si="21"/>
        <v>0.12736163591909314</v>
      </c>
      <c r="Q213" s="5">
        <f t="shared" si="22"/>
        <v>202402</v>
      </c>
      <c r="R213" s="21">
        <f t="shared" si="23"/>
        <v>45323</v>
      </c>
    </row>
    <row r="214" spans="1:18" x14ac:dyDescent="0.25">
      <c r="A214" s="5" t="s">
        <v>484</v>
      </c>
      <c r="B214" s="14">
        <v>45588</v>
      </c>
      <c r="C214" s="5" t="s">
        <v>485</v>
      </c>
      <c r="D214" s="10" t="s">
        <v>42</v>
      </c>
      <c r="E214" s="10" t="s">
        <v>154</v>
      </c>
      <c r="F214" s="10" t="s">
        <v>39</v>
      </c>
      <c r="G214" s="15">
        <v>1</v>
      </c>
      <c r="H214" s="11">
        <v>4398.4023999999999</v>
      </c>
      <c r="I214" s="12">
        <v>0</v>
      </c>
      <c r="J214" s="11">
        <v>4398.4023999999999</v>
      </c>
      <c r="K214" s="11">
        <v>1399.5776999999998</v>
      </c>
      <c r="L214" s="10" t="s">
        <v>17</v>
      </c>
      <c r="M214" s="5">
        <f t="shared" si="18"/>
        <v>2024</v>
      </c>
      <c r="N214" s="5">
        <f t="shared" si="19"/>
        <v>10</v>
      </c>
      <c r="O214" s="21">
        <f t="shared" si="20"/>
        <v>45566</v>
      </c>
      <c r="P214" s="13">
        <f t="shared" si="21"/>
        <v>0.31820137693631667</v>
      </c>
      <c r="Q214" s="5">
        <f t="shared" si="22"/>
        <v>202410</v>
      </c>
      <c r="R214" s="21">
        <f t="shared" si="23"/>
        <v>45566</v>
      </c>
    </row>
    <row r="215" spans="1:18" x14ac:dyDescent="0.25">
      <c r="A215" s="5" t="s">
        <v>486</v>
      </c>
      <c r="B215" s="14">
        <v>45576</v>
      </c>
      <c r="C215" s="5" t="s">
        <v>487</v>
      </c>
      <c r="D215" s="10" t="s">
        <v>20</v>
      </c>
      <c r="E215" s="10" t="s">
        <v>269</v>
      </c>
      <c r="F215" s="10" t="s">
        <v>75</v>
      </c>
      <c r="G215" s="15">
        <v>2</v>
      </c>
      <c r="H215" s="11">
        <v>3848.6021000000001</v>
      </c>
      <c r="I215" s="12">
        <v>15</v>
      </c>
      <c r="J215" s="11">
        <v>6542.7181999999993</v>
      </c>
      <c r="K215" s="11">
        <v>1170.5730999999998</v>
      </c>
      <c r="L215" s="10" t="s">
        <v>17</v>
      </c>
      <c r="M215" s="5">
        <f t="shared" si="18"/>
        <v>2024</v>
      </c>
      <c r="N215" s="5">
        <f t="shared" si="19"/>
        <v>10</v>
      </c>
      <c r="O215" s="21">
        <f t="shared" si="20"/>
        <v>45566</v>
      </c>
      <c r="P215" s="13">
        <f t="shared" si="21"/>
        <v>0.17891235175007231</v>
      </c>
      <c r="Q215" s="5">
        <f t="shared" si="22"/>
        <v>202410</v>
      </c>
      <c r="R215" s="21">
        <f t="shared" si="23"/>
        <v>45566</v>
      </c>
    </row>
    <row r="216" spans="1:18" x14ac:dyDescent="0.25">
      <c r="A216" s="5" t="s">
        <v>488</v>
      </c>
      <c r="B216" s="14">
        <v>45891</v>
      </c>
      <c r="C216" s="5" t="s">
        <v>372</v>
      </c>
      <c r="D216" s="10" t="s">
        <v>14</v>
      </c>
      <c r="E216" s="10" t="s">
        <v>74</v>
      </c>
      <c r="F216" s="10" t="s">
        <v>75</v>
      </c>
      <c r="G216" s="15">
        <v>1</v>
      </c>
      <c r="H216" s="11">
        <v>5445.9564999999993</v>
      </c>
      <c r="I216" s="12">
        <v>15</v>
      </c>
      <c r="J216" s="11">
        <v>4629.2996000000003</v>
      </c>
      <c r="K216" s="11">
        <v>1019.1650999999999</v>
      </c>
      <c r="L216" s="10" t="s">
        <v>17</v>
      </c>
      <c r="M216" s="5">
        <f t="shared" si="18"/>
        <v>2025</v>
      </c>
      <c r="N216" s="5">
        <f t="shared" si="19"/>
        <v>8</v>
      </c>
      <c r="O216" s="21">
        <f t="shared" si="20"/>
        <v>45870</v>
      </c>
      <c r="P216" s="13">
        <f t="shared" si="21"/>
        <v>0.22015535568274733</v>
      </c>
      <c r="Q216" s="5">
        <f t="shared" si="22"/>
        <v>202508</v>
      </c>
      <c r="R216" s="21">
        <f t="shared" si="23"/>
        <v>45870</v>
      </c>
    </row>
    <row r="217" spans="1:18" x14ac:dyDescent="0.25">
      <c r="A217" s="5" t="s">
        <v>489</v>
      </c>
      <c r="B217" s="14">
        <v>45670</v>
      </c>
      <c r="C217" s="5" t="s">
        <v>490</v>
      </c>
      <c r="D217" s="10" t="s">
        <v>14</v>
      </c>
      <c r="E217" s="10" t="s">
        <v>94</v>
      </c>
      <c r="F217" s="10" t="s">
        <v>75</v>
      </c>
      <c r="G217" s="15">
        <v>1</v>
      </c>
      <c r="H217" s="11">
        <v>5564.2439999999997</v>
      </c>
      <c r="I217" s="12">
        <v>5</v>
      </c>
      <c r="J217" s="11">
        <v>5286.0317999999997</v>
      </c>
      <c r="K217" s="11">
        <v>1261.4178999999999</v>
      </c>
      <c r="L217" s="10" t="s">
        <v>23</v>
      </c>
      <c r="M217" s="5">
        <f t="shared" si="18"/>
        <v>2025</v>
      </c>
      <c r="N217" s="5">
        <f t="shared" si="19"/>
        <v>1</v>
      </c>
      <c r="O217" s="21">
        <f t="shared" si="20"/>
        <v>45658</v>
      </c>
      <c r="P217" s="13">
        <f t="shared" si="21"/>
        <v>0.23863229502327246</v>
      </c>
      <c r="Q217" s="5">
        <f t="shared" si="22"/>
        <v>202501</v>
      </c>
      <c r="R217" s="21">
        <f t="shared" si="23"/>
        <v>45658</v>
      </c>
    </row>
    <row r="218" spans="1:18" x14ac:dyDescent="0.25">
      <c r="A218" s="5" t="s">
        <v>491</v>
      </c>
      <c r="B218" s="14">
        <v>45650</v>
      </c>
      <c r="C218" s="5" t="s">
        <v>492</v>
      </c>
      <c r="D218" s="10" t="s">
        <v>20</v>
      </c>
      <c r="E218" s="10" t="s">
        <v>133</v>
      </c>
      <c r="F218" s="10" t="s">
        <v>75</v>
      </c>
      <c r="G218" s="15">
        <v>2</v>
      </c>
      <c r="H218" s="11">
        <v>4401.2412999999997</v>
      </c>
      <c r="I218" s="12">
        <v>0</v>
      </c>
      <c r="J218" s="11">
        <v>8802.4825999999994</v>
      </c>
      <c r="K218" s="11">
        <v>2174.5974000000001</v>
      </c>
      <c r="L218" s="10" t="s">
        <v>23</v>
      </c>
      <c r="M218" s="5">
        <f t="shared" si="18"/>
        <v>2024</v>
      </c>
      <c r="N218" s="5">
        <f t="shared" si="19"/>
        <v>12</v>
      </c>
      <c r="O218" s="21">
        <f t="shared" si="20"/>
        <v>45627</v>
      </c>
      <c r="P218" s="13">
        <f t="shared" si="21"/>
        <v>0.2470436465276285</v>
      </c>
      <c r="Q218" s="5">
        <f t="shared" si="22"/>
        <v>202412</v>
      </c>
      <c r="R218" s="21">
        <f t="shared" si="23"/>
        <v>45627</v>
      </c>
    </row>
    <row r="219" spans="1:18" x14ac:dyDescent="0.25">
      <c r="A219" s="5" t="s">
        <v>493</v>
      </c>
      <c r="B219" s="14">
        <v>45628</v>
      </c>
      <c r="C219" s="5" t="s">
        <v>494</v>
      </c>
      <c r="D219" s="10" t="s">
        <v>26</v>
      </c>
      <c r="E219" s="10" t="s">
        <v>52</v>
      </c>
      <c r="F219" s="10" t="s">
        <v>39</v>
      </c>
      <c r="G219" s="15">
        <v>5</v>
      </c>
      <c r="H219" s="11">
        <v>6766.0450000000001</v>
      </c>
      <c r="I219" s="12">
        <v>0</v>
      </c>
      <c r="J219" s="11">
        <v>33830.224999999999</v>
      </c>
      <c r="K219" s="11">
        <v>11245.8292</v>
      </c>
      <c r="L219" s="10" t="s">
        <v>17</v>
      </c>
      <c r="M219" s="5">
        <f t="shared" si="18"/>
        <v>2024</v>
      </c>
      <c r="N219" s="5">
        <f t="shared" si="19"/>
        <v>12</v>
      </c>
      <c r="O219" s="21">
        <f t="shared" si="20"/>
        <v>45627</v>
      </c>
      <c r="P219" s="13">
        <f t="shared" si="21"/>
        <v>0.33241958041958042</v>
      </c>
      <c r="Q219" s="5">
        <f t="shared" si="22"/>
        <v>202412</v>
      </c>
      <c r="R219" s="21">
        <f t="shared" si="23"/>
        <v>45627</v>
      </c>
    </row>
    <row r="220" spans="1:18" x14ac:dyDescent="0.25">
      <c r="A220" s="5" t="s">
        <v>495</v>
      </c>
      <c r="B220" s="14">
        <v>45475</v>
      </c>
      <c r="C220" s="5" t="s">
        <v>496</v>
      </c>
      <c r="D220" s="10" t="s">
        <v>37</v>
      </c>
      <c r="E220" s="10" t="s">
        <v>94</v>
      </c>
      <c r="F220" s="10" t="s">
        <v>75</v>
      </c>
      <c r="G220" s="15">
        <v>1</v>
      </c>
      <c r="H220" s="11">
        <v>3085.8842999999997</v>
      </c>
      <c r="I220" s="12">
        <v>10</v>
      </c>
      <c r="J220" s="11">
        <v>2777.3905</v>
      </c>
      <c r="K220" s="11">
        <v>885.7367999999999</v>
      </c>
      <c r="L220" s="10" t="s">
        <v>23</v>
      </c>
      <c r="M220" s="5">
        <f t="shared" si="18"/>
        <v>2024</v>
      </c>
      <c r="N220" s="5">
        <f t="shared" si="19"/>
        <v>7</v>
      </c>
      <c r="O220" s="21">
        <f t="shared" si="20"/>
        <v>45474</v>
      </c>
      <c r="P220" s="13">
        <f t="shared" si="21"/>
        <v>0.31890971039182281</v>
      </c>
      <c r="Q220" s="5">
        <f t="shared" si="22"/>
        <v>202407</v>
      </c>
      <c r="R220" s="21">
        <f t="shared" si="23"/>
        <v>45474</v>
      </c>
    </row>
    <row r="221" spans="1:18" x14ac:dyDescent="0.25">
      <c r="A221" s="5" t="s">
        <v>497</v>
      </c>
      <c r="B221" s="14">
        <v>45669</v>
      </c>
      <c r="C221" s="5" t="s">
        <v>498</v>
      </c>
      <c r="D221" s="10" t="s">
        <v>26</v>
      </c>
      <c r="E221" s="10" t="s">
        <v>111</v>
      </c>
      <c r="F221" s="10" t="s">
        <v>49</v>
      </c>
      <c r="G221" s="15">
        <v>2</v>
      </c>
      <c r="H221" s="11">
        <v>5935.1935999999996</v>
      </c>
      <c r="I221" s="12">
        <v>5</v>
      </c>
      <c r="J221" s="11">
        <v>11277.0571</v>
      </c>
      <c r="K221" s="11">
        <v>4420.1673000000001</v>
      </c>
      <c r="L221" s="10" t="s">
        <v>17</v>
      </c>
      <c r="M221" s="5">
        <f t="shared" si="18"/>
        <v>2025</v>
      </c>
      <c r="N221" s="5">
        <f t="shared" si="19"/>
        <v>1</v>
      </c>
      <c r="O221" s="21">
        <f t="shared" si="20"/>
        <v>45658</v>
      </c>
      <c r="P221" s="13">
        <f t="shared" si="21"/>
        <v>0.39196106402618108</v>
      </c>
      <c r="Q221" s="5">
        <f t="shared" si="22"/>
        <v>202501</v>
      </c>
      <c r="R221" s="21">
        <f t="shared" si="23"/>
        <v>45658</v>
      </c>
    </row>
    <row r="222" spans="1:18" x14ac:dyDescent="0.25">
      <c r="A222" s="5" t="s">
        <v>499</v>
      </c>
      <c r="B222" s="14">
        <v>45768</v>
      </c>
      <c r="C222" s="5" t="s">
        <v>264</v>
      </c>
      <c r="D222" s="10" t="s">
        <v>42</v>
      </c>
      <c r="E222" s="10" t="s">
        <v>61</v>
      </c>
      <c r="F222" s="10" t="s">
        <v>39</v>
      </c>
      <c r="G222" s="15">
        <v>1</v>
      </c>
      <c r="H222" s="11">
        <v>3409.5189</v>
      </c>
      <c r="I222" s="12">
        <v>15</v>
      </c>
      <c r="J222" s="11">
        <v>2898.5168999999996</v>
      </c>
      <c r="K222" s="11">
        <v>1121.3654999999999</v>
      </c>
      <c r="L222" s="10" t="s">
        <v>23</v>
      </c>
      <c r="M222" s="5">
        <f t="shared" si="18"/>
        <v>2025</v>
      </c>
      <c r="N222" s="5">
        <f t="shared" si="19"/>
        <v>4</v>
      </c>
      <c r="O222" s="21">
        <f t="shared" si="20"/>
        <v>45748</v>
      </c>
      <c r="P222" s="13">
        <f t="shared" si="21"/>
        <v>0.38687561214495592</v>
      </c>
      <c r="Q222" s="5">
        <f t="shared" si="22"/>
        <v>202504</v>
      </c>
      <c r="R222" s="21">
        <f t="shared" si="23"/>
        <v>45748</v>
      </c>
    </row>
    <row r="223" spans="1:18" x14ac:dyDescent="0.25">
      <c r="A223" s="5" t="s">
        <v>500</v>
      </c>
      <c r="B223" s="14">
        <v>45984</v>
      </c>
      <c r="C223" s="5" t="s">
        <v>501</v>
      </c>
      <c r="D223" s="10" t="s">
        <v>37</v>
      </c>
      <c r="E223" s="10" t="s">
        <v>502</v>
      </c>
      <c r="F223" s="10" t="s">
        <v>22</v>
      </c>
      <c r="G223" s="15">
        <v>2</v>
      </c>
      <c r="H223" s="11">
        <v>2144.3157999999999</v>
      </c>
      <c r="I223" s="12">
        <v>5</v>
      </c>
      <c r="J223" s="11">
        <v>4073.8214999999996</v>
      </c>
      <c r="K223" s="11">
        <v>2480.2523000000001</v>
      </c>
      <c r="L223" s="10" t="s">
        <v>23</v>
      </c>
      <c r="M223" s="5">
        <f t="shared" si="18"/>
        <v>2025</v>
      </c>
      <c r="N223" s="5">
        <f t="shared" si="19"/>
        <v>11</v>
      </c>
      <c r="O223" s="21">
        <f t="shared" si="20"/>
        <v>45962</v>
      </c>
      <c r="P223" s="13">
        <f t="shared" si="21"/>
        <v>0.6088269454123113</v>
      </c>
      <c r="Q223" s="5">
        <f t="shared" si="22"/>
        <v>202511</v>
      </c>
      <c r="R223" s="21">
        <f t="shared" si="23"/>
        <v>45962</v>
      </c>
    </row>
    <row r="224" spans="1:18" x14ac:dyDescent="0.25">
      <c r="A224" s="5" t="s">
        <v>503</v>
      </c>
      <c r="B224" s="14">
        <v>45436</v>
      </c>
      <c r="C224" s="5" t="s">
        <v>504</v>
      </c>
      <c r="D224" s="10" t="s">
        <v>14</v>
      </c>
      <c r="E224" s="10" t="s">
        <v>27</v>
      </c>
      <c r="F224" s="10" t="s">
        <v>22</v>
      </c>
      <c r="G224" s="15">
        <v>3</v>
      </c>
      <c r="H224" s="11">
        <v>2432.9373000000001</v>
      </c>
      <c r="I224" s="12">
        <v>0</v>
      </c>
      <c r="J224" s="11">
        <v>7298.8118999999988</v>
      </c>
      <c r="K224" s="11">
        <v>4663.3663999999999</v>
      </c>
      <c r="L224" s="10" t="s">
        <v>17</v>
      </c>
      <c r="M224" s="5">
        <f t="shared" si="18"/>
        <v>2024</v>
      </c>
      <c r="N224" s="5">
        <f t="shared" si="19"/>
        <v>5</v>
      </c>
      <c r="O224" s="21">
        <f t="shared" si="20"/>
        <v>45413</v>
      </c>
      <c r="P224" s="13">
        <f t="shared" si="21"/>
        <v>0.63892130169843131</v>
      </c>
      <c r="Q224" s="5">
        <f t="shared" si="22"/>
        <v>202405</v>
      </c>
      <c r="R224" s="21">
        <f t="shared" si="23"/>
        <v>45413</v>
      </c>
    </row>
    <row r="225" spans="1:18" x14ac:dyDescent="0.25">
      <c r="A225" s="5" t="s">
        <v>505</v>
      </c>
      <c r="B225" s="14">
        <v>45529</v>
      </c>
      <c r="C225" s="5" t="s">
        <v>506</v>
      </c>
      <c r="D225" s="10" t="s">
        <v>37</v>
      </c>
      <c r="E225" s="10" t="s">
        <v>64</v>
      </c>
      <c r="F225" s="10" t="s">
        <v>16</v>
      </c>
      <c r="G225" s="15">
        <v>1</v>
      </c>
      <c r="H225" s="11">
        <v>12543.2065</v>
      </c>
      <c r="I225" s="12">
        <v>5</v>
      </c>
      <c r="J225" s="11">
        <v>11915.809599999999</v>
      </c>
      <c r="K225" s="11">
        <v>1706.1789000000001</v>
      </c>
      <c r="L225" s="10" t="s">
        <v>17</v>
      </c>
      <c r="M225" s="5">
        <f t="shared" si="18"/>
        <v>2024</v>
      </c>
      <c r="N225" s="5">
        <f t="shared" si="19"/>
        <v>8</v>
      </c>
      <c r="O225" s="21">
        <f t="shared" si="20"/>
        <v>45505</v>
      </c>
      <c r="P225" s="13">
        <f t="shared" si="21"/>
        <v>0.14318614993646761</v>
      </c>
      <c r="Q225" s="5">
        <f t="shared" si="22"/>
        <v>202408</v>
      </c>
      <c r="R225" s="21">
        <f t="shared" si="23"/>
        <v>45505</v>
      </c>
    </row>
    <row r="226" spans="1:18" x14ac:dyDescent="0.25">
      <c r="A226" s="5" t="s">
        <v>507</v>
      </c>
      <c r="B226" s="14">
        <v>45888</v>
      </c>
      <c r="C226" s="5" t="s">
        <v>508</v>
      </c>
      <c r="D226" s="10" t="s">
        <v>37</v>
      </c>
      <c r="E226" s="10" t="s">
        <v>38</v>
      </c>
      <c r="F226" s="10" t="s">
        <v>39</v>
      </c>
      <c r="G226" s="15">
        <v>2</v>
      </c>
      <c r="H226" s="11">
        <v>2967.5967999999998</v>
      </c>
      <c r="I226" s="12">
        <v>0</v>
      </c>
      <c r="J226" s="11">
        <v>5935.1935999999996</v>
      </c>
      <c r="K226" s="11">
        <v>1352.2626999999998</v>
      </c>
      <c r="L226" s="10" t="s">
        <v>23</v>
      </c>
      <c r="M226" s="5">
        <f t="shared" si="18"/>
        <v>2025</v>
      </c>
      <c r="N226" s="5">
        <f t="shared" si="19"/>
        <v>8</v>
      </c>
      <c r="O226" s="21">
        <f t="shared" si="20"/>
        <v>45870</v>
      </c>
      <c r="P226" s="13">
        <f t="shared" si="21"/>
        <v>0.22783801020408162</v>
      </c>
      <c r="Q226" s="5">
        <f t="shared" si="22"/>
        <v>202508</v>
      </c>
      <c r="R226" s="21">
        <f t="shared" si="23"/>
        <v>45870</v>
      </c>
    </row>
    <row r="227" spans="1:18" x14ac:dyDescent="0.25">
      <c r="A227" s="5" t="s">
        <v>509</v>
      </c>
      <c r="B227" s="14">
        <v>45482</v>
      </c>
      <c r="C227" s="5" t="s">
        <v>510</v>
      </c>
      <c r="D227" s="10" t="s">
        <v>42</v>
      </c>
      <c r="E227" s="10" t="s">
        <v>83</v>
      </c>
      <c r="F227" s="10" t="s">
        <v>22</v>
      </c>
      <c r="G227" s="15">
        <v>2</v>
      </c>
      <c r="H227" s="11">
        <v>2690.3308999999999</v>
      </c>
      <c r="I227" s="12">
        <v>15</v>
      </c>
      <c r="J227" s="11">
        <v>4573.4678999999996</v>
      </c>
      <c r="K227" s="11">
        <v>2007.1023</v>
      </c>
      <c r="L227" s="10" t="s">
        <v>17</v>
      </c>
      <c r="M227" s="5">
        <f t="shared" si="18"/>
        <v>2024</v>
      </c>
      <c r="N227" s="5">
        <f t="shared" si="19"/>
        <v>7</v>
      </c>
      <c r="O227" s="21">
        <f t="shared" si="20"/>
        <v>45474</v>
      </c>
      <c r="P227" s="13">
        <f t="shared" si="21"/>
        <v>0.43885785226567353</v>
      </c>
      <c r="Q227" s="5">
        <f t="shared" si="22"/>
        <v>202407</v>
      </c>
      <c r="R227" s="21">
        <f t="shared" si="23"/>
        <v>45474</v>
      </c>
    </row>
    <row r="228" spans="1:18" x14ac:dyDescent="0.25">
      <c r="A228" s="5" t="s">
        <v>511</v>
      </c>
      <c r="B228" s="14">
        <v>45397</v>
      </c>
      <c r="C228" s="5" t="s">
        <v>512</v>
      </c>
      <c r="D228" s="10" t="s">
        <v>14</v>
      </c>
      <c r="E228" s="10" t="s">
        <v>105</v>
      </c>
      <c r="F228" s="10" t="s">
        <v>39</v>
      </c>
      <c r="G228" s="15">
        <v>4</v>
      </c>
      <c r="H228" s="11">
        <v>4046.3787999999995</v>
      </c>
      <c r="I228" s="12">
        <v>0</v>
      </c>
      <c r="J228" s="11">
        <v>16185.515199999998</v>
      </c>
      <c r="K228" s="11">
        <v>3998.1174999999998</v>
      </c>
      <c r="L228" s="10" t="s">
        <v>23</v>
      </c>
      <c r="M228" s="5">
        <f t="shared" si="18"/>
        <v>2024</v>
      </c>
      <c r="N228" s="5">
        <f t="shared" si="19"/>
        <v>4</v>
      </c>
      <c r="O228" s="21">
        <f t="shared" si="20"/>
        <v>45383</v>
      </c>
      <c r="P228" s="13">
        <f t="shared" si="21"/>
        <v>0.24701824134705333</v>
      </c>
      <c r="Q228" s="5">
        <f t="shared" si="22"/>
        <v>202404</v>
      </c>
      <c r="R228" s="21">
        <f t="shared" si="23"/>
        <v>45383</v>
      </c>
    </row>
    <row r="229" spans="1:18" x14ac:dyDescent="0.25">
      <c r="A229" s="5" t="s">
        <v>513</v>
      </c>
      <c r="B229" s="14">
        <v>46006</v>
      </c>
      <c r="C229" s="5" t="s">
        <v>514</v>
      </c>
      <c r="D229" s="10" t="s">
        <v>42</v>
      </c>
      <c r="E229" s="10" t="s">
        <v>227</v>
      </c>
      <c r="F229" s="10" t="s">
        <v>39</v>
      </c>
      <c r="G229" s="15">
        <v>2</v>
      </c>
      <c r="H229" s="11">
        <v>5498.9492999999993</v>
      </c>
      <c r="I229" s="12">
        <v>5</v>
      </c>
      <c r="J229" s="11">
        <v>10448.0983</v>
      </c>
      <c r="K229" s="11">
        <v>3420.8744999999999</v>
      </c>
      <c r="L229" s="10" t="s">
        <v>17</v>
      </c>
      <c r="M229" s="5">
        <f t="shared" si="18"/>
        <v>2025</v>
      </c>
      <c r="N229" s="5">
        <f t="shared" si="19"/>
        <v>12</v>
      </c>
      <c r="O229" s="21">
        <f t="shared" si="20"/>
        <v>45992</v>
      </c>
      <c r="P229" s="13">
        <f t="shared" si="21"/>
        <v>0.32741599492799567</v>
      </c>
      <c r="Q229" s="5">
        <f t="shared" si="22"/>
        <v>202512</v>
      </c>
      <c r="R229" s="21">
        <f t="shared" si="23"/>
        <v>45992</v>
      </c>
    </row>
    <row r="230" spans="1:18" x14ac:dyDescent="0.25">
      <c r="A230" s="5" t="s">
        <v>515</v>
      </c>
      <c r="B230" s="14">
        <v>45498</v>
      </c>
      <c r="C230" s="5" t="s">
        <v>516</v>
      </c>
      <c r="D230" s="10" t="s">
        <v>37</v>
      </c>
      <c r="E230" s="10" t="s">
        <v>27</v>
      </c>
      <c r="F230" s="10" t="s">
        <v>22</v>
      </c>
      <c r="G230" s="15">
        <v>4</v>
      </c>
      <c r="H230" s="11">
        <v>1368.3498</v>
      </c>
      <c r="I230" s="12">
        <v>10</v>
      </c>
      <c r="J230" s="11">
        <v>4926.4377999999997</v>
      </c>
      <c r="K230" s="11">
        <v>2142.4231999999997</v>
      </c>
      <c r="L230" s="10" t="s">
        <v>23</v>
      </c>
      <c r="M230" s="5">
        <f t="shared" si="18"/>
        <v>2024</v>
      </c>
      <c r="N230" s="5">
        <f t="shared" si="19"/>
        <v>7</v>
      </c>
      <c r="O230" s="21">
        <f t="shared" si="20"/>
        <v>45474</v>
      </c>
      <c r="P230" s="13">
        <f t="shared" si="21"/>
        <v>0.43488282750672297</v>
      </c>
      <c r="Q230" s="5">
        <f t="shared" si="22"/>
        <v>202407</v>
      </c>
      <c r="R230" s="21">
        <f t="shared" si="23"/>
        <v>45474</v>
      </c>
    </row>
    <row r="231" spans="1:18" x14ac:dyDescent="0.25">
      <c r="A231" s="5" t="s">
        <v>517</v>
      </c>
      <c r="B231" s="14">
        <v>45313</v>
      </c>
      <c r="C231" s="5" t="s">
        <v>518</v>
      </c>
      <c r="D231" s="10" t="s">
        <v>37</v>
      </c>
      <c r="E231" s="10" t="s">
        <v>136</v>
      </c>
      <c r="F231" s="10" t="s">
        <v>75</v>
      </c>
      <c r="G231" s="15">
        <v>3</v>
      </c>
      <c r="H231" s="11">
        <v>3433.1763999999998</v>
      </c>
      <c r="I231" s="12">
        <v>10</v>
      </c>
      <c r="J231" s="11">
        <v>9269.9547999999995</v>
      </c>
      <c r="K231" s="11">
        <v>2837.0074</v>
      </c>
      <c r="L231" s="10" t="s">
        <v>17</v>
      </c>
      <c r="M231" s="5">
        <f t="shared" si="18"/>
        <v>2024</v>
      </c>
      <c r="N231" s="5">
        <f t="shared" si="19"/>
        <v>1</v>
      </c>
      <c r="O231" s="21">
        <f t="shared" si="20"/>
        <v>45292</v>
      </c>
      <c r="P231" s="13">
        <f t="shared" si="21"/>
        <v>0.30604328297264188</v>
      </c>
      <c r="Q231" s="5">
        <f t="shared" si="22"/>
        <v>202401</v>
      </c>
      <c r="R231" s="21">
        <f t="shared" si="23"/>
        <v>45292</v>
      </c>
    </row>
    <row r="232" spans="1:18" x14ac:dyDescent="0.25">
      <c r="A232" s="5" t="s">
        <v>519</v>
      </c>
      <c r="B232" s="14">
        <v>45388</v>
      </c>
      <c r="C232" s="5" t="s">
        <v>520</v>
      </c>
      <c r="D232" s="10" t="s">
        <v>42</v>
      </c>
      <c r="E232" s="10" t="s">
        <v>253</v>
      </c>
      <c r="F232" s="10" t="s">
        <v>49</v>
      </c>
      <c r="G232" s="15">
        <v>5</v>
      </c>
      <c r="H232" s="11">
        <v>4972.8064999999997</v>
      </c>
      <c r="I232" s="12">
        <v>0</v>
      </c>
      <c r="J232" s="11">
        <v>24864.032499999998</v>
      </c>
      <c r="K232" s="11">
        <v>8537.5185999999994</v>
      </c>
      <c r="L232" s="10" t="s">
        <v>23</v>
      </c>
      <c r="M232" s="5">
        <f t="shared" si="18"/>
        <v>2024</v>
      </c>
      <c r="N232" s="5">
        <f t="shared" si="19"/>
        <v>4</v>
      </c>
      <c r="O232" s="21">
        <f t="shared" si="20"/>
        <v>45383</v>
      </c>
      <c r="P232" s="13">
        <f t="shared" si="21"/>
        <v>0.34336822074215034</v>
      </c>
      <c r="Q232" s="5">
        <f t="shared" si="22"/>
        <v>202404</v>
      </c>
      <c r="R232" s="21">
        <f t="shared" si="23"/>
        <v>45383</v>
      </c>
    </row>
    <row r="233" spans="1:18" x14ac:dyDescent="0.25">
      <c r="A233" s="5" t="s">
        <v>521</v>
      </c>
      <c r="B233" s="14">
        <v>45301</v>
      </c>
      <c r="C233" s="5" t="s">
        <v>407</v>
      </c>
      <c r="D233" s="10" t="s">
        <v>42</v>
      </c>
      <c r="E233" s="10" t="s">
        <v>111</v>
      </c>
      <c r="F233" s="10" t="s">
        <v>49</v>
      </c>
      <c r="G233" s="15">
        <v>2</v>
      </c>
      <c r="H233" s="11">
        <v>4806.2577000000001</v>
      </c>
      <c r="I233" s="12">
        <v>5</v>
      </c>
      <c r="J233" s="11">
        <v>9131.7950000000001</v>
      </c>
      <c r="K233" s="11">
        <v>4114.5123999999996</v>
      </c>
      <c r="L233" s="10" t="s">
        <v>23</v>
      </c>
      <c r="M233" s="5">
        <f t="shared" si="18"/>
        <v>2024</v>
      </c>
      <c r="N233" s="5">
        <f t="shared" si="19"/>
        <v>1</v>
      </c>
      <c r="O233" s="21">
        <f t="shared" si="20"/>
        <v>45292</v>
      </c>
      <c r="P233" s="13">
        <f t="shared" si="21"/>
        <v>0.45056994818652846</v>
      </c>
      <c r="Q233" s="5">
        <f t="shared" si="22"/>
        <v>202401</v>
      </c>
      <c r="R233" s="21">
        <f t="shared" si="23"/>
        <v>45292</v>
      </c>
    </row>
    <row r="234" spans="1:18" x14ac:dyDescent="0.25">
      <c r="A234" s="5" t="s">
        <v>522</v>
      </c>
      <c r="B234" s="14">
        <v>45550</v>
      </c>
      <c r="C234" s="5" t="s">
        <v>523</v>
      </c>
      <c r="D234" s="10" t="s">
        <v>14</v>
      </c>
      <c r="E234" s="10" t="s">
        <v>246</v>
      </c>
      <c r="F234" s="10" t="s">
        <v>75</v>
      </c>
      <c r="G234" s="15">
        <v>3</v>
      </c>
      <c r="H234" s="11">
        <v>2954.3485999999998</v>
      </c>
      <c r="I234" s="12">
        <v>10</v>
      </c>
      <c r="J234" s="11">
        <v>7976.3627000000006</v>
      </c>
      <c r="K234" s="11">
        <v>2113.0878999999995</v>
      </c>
      <c r="L234" s="10" t="s">
        <v>17</v>
      </c>
      <c r="M234" s="5">
        <f t="shared" si="18"/>
        <v>2024</v>
      </c>
      <c r="N234" s="5">
        <f t="shared" si="19"/>
        <v>9</v>
      </c>
      <c r="O234" s="21">
        <f t="shared" si="20"/>
        <v>45536</v>
      </c>
      <c r="P234" s="13">
        <f t="shared" si="21"/>
        <v>0.26491873294578233</v>
      </c>
      <c r="Q234" s="5">
        <f t="shared" si="22"/>
        <v>202409</v>
      </c>
      <c r="R234" s="21">
        <f t="shared" si="23"/>
        <v>45536</v>
      </c>
    </row>
    <row r="235" spans="1:18" x14ac:dyDescent="0.25">
      <c r="A235" s="5" t="s">
        <v>524</v>
      </c>
      <c r="B235" s="14">
        <v>45628</v>
      </c>
      <c r="C235" s="5" t="s">
        <v>525</v>
      </c>
      <c r="D235" s="10" t="s">
        <v>26</v>
      </c>
      <c r="E235" s="10" t="s">
        <v>33</v>
      </c>
      <c r="F235" s="10" t="s">
        <v>16</v>
      </c>
      <c r="G235" s="15">
        <v>1</v>
      </c>
      <c r="H235" s="11">
        <v>2268.2810999999997</v>
      </c>
      <c r="I235" s="12">
        <v>0</v>
      </c>
      <c r="J235" s="11">
        <v>2268.2810999999997</v>
      </c>
      <c r="K235" s="11">
        <v>552.63919999999996</v>
      </c>
      <c r="L235" s="10" t="s">
        <v>17</v>
      </c>
      <c r="M235" s="5">
        <f t="shared" si="18"/>
        <v>2024</v>
      </c>
      <c r="N235" s="5">
        <f t="shared" si="19"/>
        <v>12</v>
      </c>
      <c r="O235" s="21">
        <f t="shared" si="20"/>
        <v>45627</v>
      </c>
      <c r="P235" s="13">
        <f t="shared" si="21"/>
        <v>0.2436378806841886</v>
      </c>
      <c r="Q235" s="5">
        <f t="shared" si="22"/>
        <v>202412</v>
      </c>
      <c r="R235" s="21">
        <f t="shared" si="23"/>
        <v>45627</v>
      </c>
    </row>
    <row r="236" spans="1:18" x14ac:dyDescent="0.25">
      <c r="A236" s="5" t="s">
        <v>526</v>
      </c>
      <c r="B236" s="14">
        <v>45803</v>
      </c>
      <c r="C236" s="5" t="s">
        <v>527</v>
      </c>
      <c r="D236" s="10" t="s">
        <v>20</v>
      </c>
      <c r="E236" s="10" t="s">
        <v>55</v>
      </c>
      <c r="F236" s="10" t="s">
        <v>16</v>
      </c>
      <c r="G236" s="15">
        <v>1</v>
      </c>
      <c r="H236" s="11">
        <v>8501.5591999999997</v>
      </c>
      <c r="I236" s="12">
        <v>25</v>
      </c>
      <c r="J236" s="11">
        <v>6376.1693999999989</v>
      </c>
      <c r="K236" s="11">
        <v>626.45060000000001</v>
      </c>
      <c r="L236" s="10" t="s">
        <v>17</v>
      </c>
      <c r="M236" s="5">
        <f t="shared" si="18"/>
        <v>2025</v>
      </c>
      <c r="N236" s="5">
        <f t="shared" si="19"/>
        <v>5</v>
      </c>
      <c r="O236" s="21">
        <f t="shared" si="20"/>
        <v>45778</v>
      </c>
      <c r="P236" s="13">
        <f t="shared" si="21"/>
        <v>9.8248738498070656E-2</v>
      </c>
      <c r="Q236" s="5">
        <f t="shared" si="22"/>
        <v>202505</v>
      </c>
      <c r="R236" s="21">
        <f t="shared" si="23"/>
        <v>45778</v>
      </c>
    </row>
    <row r="237" spans="1:18" x14ac:dyDescent="0.25">
      <c r="A237" s="5" t="s">
        <v>528</v>
      </c>
      <c r="B237" s="14">
        <v>45653</v>
      </c>
      <c r="C237" s="5" t="s">
        <v>529</v>
      </c>
      <c r="D237" s="10" t="s">
        <v>20</v>
      </c>
      <c r="E237" s="10" t="s">
        <v>286</v>
      </c>
      <c r="F237" s="10" t="s">
        <v>39</v>
      </c>
      <c r="G237" s="15">
        <v>2</v>
      </c>
      <c r="H237" s="11">
        <v>2482.1448999999998</v>
      </c>
      <c r="I237" s="12">
        <v>15</v>
      </c>
      <c r="J237" s="11">
        <v>4219.5517</v>
      </c>
      <c r="K237" s="11">
        <v>1412.8258999999998</v>
      </c>
      <c r="L237" s="10" t="s">
        <v>23</v>
      </c>
      <c r="M237" s="5">
        <f t="shared" si="18"/>
        <v>2024</v>
      </c>
      <c r="N237" s="5">
        <f t="shared" si="19"/>
        <v>12</v>
      </c>
      <c r="O237" s="21">
        <f t="shared" si="20"/>
        <v>45627</v>
      </c>
      <c r="P237" s="13">
        <f t="shared" si="21"/>
        <v>0.33482843686925318</v>
      </c>
      <c r="Q237" s="5">
        <f t="shared" si="22"/>
        <v>202412</v>
      </c>
      <c r="R237" s="21">
        <f t="shared" si="23"/>
        <v>45627</v>
      </c>
    </row>
    <row r="238" spans="1:18" x14ac:dyDescent="0.25">
      <c r="A238" s="5" t="s">
        <v>530</v>
      </c>
      <c r="B238" s="14">
        <v>45417</v>
      </c>
      <c r="C238" s="5" t="s">
        <v>531</v>
      </c>
      <c r="D238" s="10" t="s">
        <v>14</v>
      </c>
      <c r="E238" s="10" t="s">
        <v>151</v>
      </c>
      <c r="F238" s="10" t="s">
        <v>39</v>
      </c>
      <c r="G238" s="15">
        <v>1</v>
      </c>
      <c r="H238" s="11">
        <v>2478.3597</v>
      </c>
      <c r="I238" s="12">
        <v>0</v>
      </c>
      <c r="J238" s="11">
        <v>2478.3597</v>
      </c>
      <c r="K238" s="11">
        <v>792.05309999999986</v>
      </c>
      <c r="L238" s="10" t="s">
        <v>34</v>
      </c>
      <c r="M238" s="5">
        <f t="shared" si="18"/>
        <v>2024</v>
      </c>
      <c r="N238" s="5">
        <f t="shared" si="19"/>
        <v>5</v>
      </c>
      <c r="O238" s="21">
        <f t="shared" si="20"/>
        <v>45413</v>
      </c>
      <c r="P238" s="13">
        <f t="shared" si="21"/>
        <v>0.3195876288659793</v>
      </c>
      <c r="Q238" s="5">
        <f t="shared" si="22"/>
        <v>202405</v>
      </c>
      <c r="R238" s="21">
        <f t="shared" si="23"/>
        <v>45413</v>
      </c>
    </row>
    <row r="239" spans="1:18" x14ac:dyDescent="0.25">
      <c r="A239" s="5" t="s">
        <v>532</v>
      </c>
      <c r="B239" s="14">
        <v>45441</v>
      </c>
      <c r="C239" s="5" t="s">
        <v>533</v>
      </c>
      <c r="D239" s="10" t="s">
        <v>42</v>
      </c>
      <c r="E239" s="10" t="s">
        <v>154</v>
      </c>
      <c r="F239" s="10" t="s">
        <v>39</v>
      </c>
      <c r="G239" s="15">
        <v>1</v>
      </c>
      <c r="H239" s="11">
        <v>4094.6401000000001</v>
      </c>
      <c r="I239" s="12">
        <v>10</v>
      </c>
      <c r="J239" s="11">
        <v>3684.8921999999998</v>
      </c>
      <c r="K239" s="11">
        <v>1198.9621</v>
      </c>
      <c r="L239" s="10" t="s">
        <v>17</v>
      </c>
      <c r="M239" s="5">
        <f t="shared" si="18"/>
        <v>2024</v>
      </c>
      <c r="N239" s="5">
        <f t="shared" si="19"/>
        <v>5</v>
      </c>
      <c r="O239" s="21">
        <f t="shared" si="20"/>
        <v>45413</v>
      </c>
      <c r="P239" s="13">
        <f t="shared" si="21"/>
        <v>0.32537236774524914</v>
      </c>
      <c r="Q239" s="5">
        <f t="shared" si="22"/>
        <v>202405</v>
      </c>
      <c r="R239" s="21">
        <f t="shared" si="23"/>
        <v>45413</v>
      </c>
    </row>
    <row r="240" spans="1:18" x14ac:dyDescent="0.25">
      <c r="A240" s="5" t="s">
        <v>534</v>
      </c>
      <c r="B240" s="14">
        <v>45310</v>
      </c>
      <c r="C240" s="5" t="s">
        <v>535</v>
      </c>
      <c r="D240" s="10" t="s">
        <v>26</v>
      </c>
      <c r="E240" s="10" t="s">
        <v>91</v>
      </c>
      <c r="F240" s="10" t="s">
        <v>49</v>
      </c>
      <c r="G240" s="15">
        <v>2</v>
      </c>
      <c r="H240" s="11">
        <v>1561.395</v>
      </c>
      <c r="I240" s="12">
        <v>20</v>
      </c>
      <c r="J240" s="11">
        <v>2498.232</v>
      </c>
      <c r="K240" s="11">
        <v>792.05309999999986</v>
      </c>
      <c r="L240" s="10" t="s">
        <v>17</v>
      </c>
      <c r="M240" s="5">
        <f t="shared" si="18"/>
        <v>2024</v>
      </c>
      <c r="N240" s="5">
        <f t="shared" si="19"/>
        <v>1</v>
      </c>
      <c r="O240" s="21">
        <f t="shared" si="20"/>
        <v>45292</v>
      </c>
      <c r="P240" s="13">
        <f t="shared" si="21"/>
        <v>0.31704545454545452</v>
      </c>
      <c r="Q240" s="5">
        <f t="shared" si="22"/>
        <v>202401</v>
      </c>
      <c r="R240" s="21">
        <f t="shared" si="23"/>
        <v>45292</v>
      </c>
    </row>
    <row r="241" spans="1:18" x14ac:dyDescent="0.25">
      <c r="A241" s="5" t="s">
        <v>536</v>
      </c>
      <c r="B241" s="14">
        <v>45931</v>
      </c>
      <c r="C241" s="5" t="s">
        <v>537</v>
      </c>
      <c r="D241" s="10" t="s">
        <v>26</v>
      </c>
      <c r="E241" s="10" t="s">
        <v>286</v>
      </c>
      <c r="F241" s="10" t="s">
        <v>39</v>
      </c>
      <c r="G241" s="15">
        <v>1</v>
      </c>
      <c r="H241" s="11">
        <v>1497.0465999999999</v>
      </c>
      <c r="I241" s="12">
        <v>5</v>
      </c>
      <c r="J241" s="11">
        <v>1422.2888999999998</v>
      </c>
      <c r="K241" s="11">
        <v>540.33730000000003</v>
      </c>
      <c r="L241" s="10" t="s">
        <v>17</v>
      </c>
      <c r="M241" s="5">
        <f t="shared" si="18"/>
        <v>2025</v>
      </c>
      <c r="N241" s="5">
        <f t="shared" si="19"/>
        <v>10</v>
      </c>
      <c r="O241" s="21">
        <f t="shared" si="20"/>
        <v>45931</v>
      </c>
      <c r="P241" s="13">
        <f t="shared" si="21"/>
        <v>0.37990685296074528</v>
      </c>
      <c r="Q241" s="5">
        <f t="shared" si="22"/>
        <v>202510</v>
      </c>
      <c r="R241" s="21">
        <f t="shared" si="23"/>
        <v>45931</v>
      </c>
    </row>
    <row r="242" spans="1:18" x14ac:dyDescent="0.25">
      <c r="A242" s="5" t="s">
        <v>538</v>
      </c>
      <c r="B242" s="14">
        <v>45450</v>
      </c>
      <c r="C242" s="5" t="s">
        <v>539</v>
      </c>
      <c r="D242" s="10" t="s">
        <v>37</v>
      </c>
      <c r="E242" s="10" t="s">
        <v>187</v>
      </c>
      <c r="F242" s="10" t="s">
        <v>75</v>
      </c>
      <c r="G242" s="15">
        <v>1</v>
      </c>
      <c r="H242" s="11">
        <v>5024.8530000000001</v>
      </c>
      <c r="I242" s="12">
        <v>0</v>
      </c>
      <c r="J242" s="11">
        <v>5024.8530000000001</v>
      </c>
      <c r="K242" s="11">
        <v>1645.6157000000001</v>
      </c>
      <c r="L242" s="10" t="s">
        <v>17</v>
      </c>
      <c r="M242" s="5">
        <f t="shared" si="18"/>
        <v>2024</v>
      </c>
      <c r="N242" s="5">
        <f t="shared" si="19"/>
        <v>6</v>
      </c>
      <c r="O242" s="21">
        <f t="shared" si="20"/>
        <v>45444</v>
      </c>
      <c r="P242" s="13">
        <f t="shared" si="21"/>
        <v>0.32749529190207155</v>
      </c>
      <c r="Q242" s="5">
        <f t="shared" si="22"/>
        <v>202406</v>
      </c>
      <c r="R242" s="21">
        <f t="shared" si="23"/>
        <v>45444</v>
      </c>
    </row>
    <row r="243" spans="1:18" x14ac:dyDescent="0.25">
      <c r="A243" s="5" t="s">
        <v>540</v>
      </c>
      <c r="B243" s="14">
        <v>45783</v>
      </c>
      <c r="C243" s="5" t="s">
        <v>541</v>
      </c>
      <c r="D243" s="10" t="s">
        <v>42</v>
      </c>
      <c r="E243" s="10" t="s">
        <v>187</v>
      </c>
      <c r="F243" s="10" t="s">
        <v>75</v>
      </c>
      <c r="G243" s="15">
        <v>3</v>
      </c>
      <c r="H243" s="11">
        <v>2116.8730999999998</v>
      </c>
      <c r="I243" s="12">
        <v>0</v>
      </c>
      <c r="J243" s="11">
        <v>6350.6192999999994</v>
      </c>
      <c r="K243" s="11">
        <v>999.29279999999994</v>
      </c>
      <c r="L243" s="10" t="s">
        <v>34</v>
      </c>
      <c r="M243" s="5">
        <f t="shared" si="18"/>
        <v>2025</v>
      </c>
      <c r="N243" s="5">
        <f t="shared" si="19"/>
        <v>5</v>
      </c>
      <c r="O243" s="21">
        <f t="shared" si="20"/>
        <v>45778</v>
      </c>
      <c r="P243" s="13">
        <f t="shared" si="21"/>
        <v>0.15735359856951275</v>
      </c>
      <c r="Q243" s="5">
        <f t="shared" si="22"/>
        <v>202505</v>
      </c>
      <c r="R243" s="21">
        <f t="shared" si="23"/>
        <v>45778</v>
      </c>
    </row>
    <row r="244" spans="1:18" x14ac:dyDescent="0.25">
      <c r="A244" s="5" t="s">
        <v>542</v>
      </c>
      <c r="B244" s="14">
        <v>45699</v>
      </c>
      <c r="C244" s="5" t="s">
        <v>543</v>
      </c>
      <c r="D244" s="10" t="s">
        <v>42</v>
      </c>
      <c r="E244" s="10" t="s">
        <v>151</v>
      </c>
      <c r="F244" s="10" t="s">
        <v>39</v>
      </c>
      <c r="G244" s="15">
        <v>1</v>
      </c>
      <c r="H244" s="11">
        <v>2004.2633999999998</v>
      </c>
      <c r="I244" s="12">
        <v>25</v>
      </c>
      <c r="J244" s="11">
        <v>1503.6706999999999</v>
      </c>
      <c r="K244" s="11">
        <v>568.72629999999992</v>
      </c>
      <c r="L244" s="10" t="s">
        <v>23</v>
      </c>
      <c r="M244" s="5">
        <f t="shared" si="18"/>
        <v>2025</v>
      </c>
      <c r="N244" s="5">
        <f t="shared" si="19"/>
        <v>2</v>
      </c>
      <c r="O244" s="21">
        <f t="shared" si="20"/>
        <v>45689</v>
      </c>
      <c r="P244" s="13">
        <f t="shared" si="21"/>
        <v>0.37822529893014473</v>
      </c>
      <c r="Q244" s="5">
        <f t="shared" si="22"/>
        <v>202502</v>
      </c>
      <c r="R244" s="21">
        <f t="shared" si="23"/>
        <v>45689</v>
      </c>
    </row>
    <row r="245" spans="1:18" x14ac:dyDescent="0.25">
      <c r="A245" s="5" t="s">
        <v>544</v>
      </c>
      <c r="B245" s="14">
        <v>45981</v>
      </c>
      <c r="C245" s="5" t="s">
        <v>394</v>
      </c>
      <c r="D245" s="10" t="s">
        <v>14</v>
      </c>
      <c r="E245" s="10" t="s">
        <v>105</v>
      </c>
      <c r="F245" s="10" t="s">
        <v>39</v>
      </c>
      <c r="G245" s="15">
        <v>2</v>
      </c>
      <c r="H245" s="11">
        <v>2694.1160999999997</v>
      </c>
      <c r="I245" s="12">
        <v>0</v>
      </c>
      <c r="J245" s="11">
        <v>5388.2321999999995</v>
      </c>
      <c r="K245" s="11">
        <v>1429.8592999999998</v>
      </c>
      <c r="L245" s="10" t="s">
        <v>17</v>
      </c>
      <c r="M245" s="5">
        <f t="shared" si="18"/>
        <v>2025</v>
      </c>
      <c r="N245" s="5">
        <f t="shared" si="19"/>
        <v>11</v>
      </c>
      <c r="O245" s="21">
        <f t="shared" si="20"/>
        <v>45962</v>
      </c>
      <c r="P245" s="13">
        <f t="shared" si="21"/>
        <v>0.26536705303828589</v>
      </c>
      <c r="Q245" s="5">
        <f t="shared" si="22"/>
        <v>202511</v>
      </c>
      <c r="R245" s="21">
        <f t="shared" si="23"/>
        <v>45962</v>
      </c>
    </row>
    <row r="246" spans="1:18" x14ac:dyDescent="0.25">
      <c r="A246" s="5" t="s">
        <v>545</v>
      </c>
      <c r="B246" s="14">
        <v>45432</v>
      </c>
      <c r="C246" s="5" t="s">
        <v>384</v>
      </c>
      <c r="D246" s="10" t="s">
        <v>37</v>
      </c>
      <c r="E246" s="10" t="s">
        <v>64</v>
      </c>
      <c r="F246" s="10" t="s">
        <v>16</v>
      </c>
      <c r="G246" s="15">
        <v>2</v>
      </c>
      <c r="H246" s="11">
        <v>2352.5018</v>
      </c>
      <c r="I246" s="12">
        <v>10</v>
      </c>
      <c r="J246" s="11">
        <v>4234.6925000000001</v>
      </c>
      <c r="K246" s="11">
        <v>489.2371</v>
      </c>
      <c r="L246" s="10" t="s">
        <v>17</v>
      </c>
      <c r="M246" s="5">
        <f t="shared" si="18"/>
        <v>2024</v>
      </c>
      <c r="N246" s="5">
        <f t="shared" si="19"/>
        <v>5</v>
      </c>
      <c r="O246" s="21">
        <f t="shared" si="20"/>
        <v>45413</v>
      </c>
      <c r="P246" s="13">
        <f t="shared" si="21"/>
        <v>0.11553072625698324</v>
      </c>
      <c r="Q246" s="5">
        <f t="shared" si="22"/>
        <v>202405</v>
      </c>
      <c r="R246" s="21">
        <f t="shared" si="23"/>
        <v>45413</v>
      </c>
    </row>
    <row r="247" spans="1:18" x14ac:dyDescent="0.25">
      <c r="A247" s="5" t="s">
        <v>546</v>
      </c>
      <c r="B247" s="14">
        <v>45361</v>
      </c>
      <c r="C247" s="5" t="s">
        <v>547</v>
      </c>
      <c r="D247" s="10" t="s">
        <v>20</v>
      </c>
      <c r="E247" s="10" t="s">
        <v>108</v>
      </c>
      <c r="F247" s="10" t="s">
        <v>75</v>
      </c>
      <c r="G247" s="15">
        <v>2</v>
      </c>
      <c r="H247" s="11">
        <v>3503.2026000000001</v>
      </c>
      <c r="I247" s="12">
        <v>0</v>
      </c>
      <c r="J247" s="11">
        <v>7006.4052000000001</v>
      </c>
      <c r="K247" s="11">
        <v>1239.653</v>
      </c>
      <c r="L247" s="10" t="s">
        <v>17</v>
      </c>
      <c r="M247" s="5">
        <f t="shared" si="18"/>
        <v>2024</v>
      </c>
      <c r="N247" s="5">
        <f t="shared" si="19"/>
        <v>3</v>
      </c>
      <c r="O247" s="21">
        <f t="shared" si="20"/>
        <v>45352</v>
      </c>
      <c r="P247" s="13">
        <f t="shared" si="21"/>
        <v>0.17693138843868178</v>
      </c>
      <c r="Q247" s="5">
        <f t="shared" si="22"/>
        <v>202403</v>
      </c>
      <c r="R247" s="21">
        <f t="shared" si="23"/>
        <v>45352</v>
      </c>
    </row>
    <row r="248" spans="1:18" x14ac:dyDescent="0.25">
      <c r="A248" s="5" t="s">
        <v>548</v>
      </c>
      <c r="B248" s="14">
        <v>45962</v>
      </c>
      <c r="C248" s="5" t="s">
        <v>514</v>
      </c>
      <c r="D248" s="10" t="s">
        <v>14</v>
      </c>
      <c r="E248" s="10" t="s">
        <v>460</v>
      </c>
      <c r="F248" s="10" t="s">
        <v>75</v>
      </c>
      <c r="G248" s="15">
        <v>1</v>
      </c>
      <c r="H248" s="11">
        <v>2167.0269999999996</v>
      </c>
      <c r="I248" s="12">
        <v>0</v>
      </c>
      <c r="J248" s="11">
        <v>2167.0269999999996</v>
      </c>
      <c r="K248" s="11">
        <v>501.53899999999999</v>
      </c>
      <c r="L248" s="10" t="s">
        <v>23</v>
      </c>
      <c r="M248" s="5">
        <f t="shared" si="18"/>
        <v>2025</v>
      </c>
      <c r="N248" s="5">
        <f t="shared" si="19"/>
        <v>11</v>
      </c>
      <c r="O248" s="21">
        <f t="shared" si="20"/>
        <v>45962</v>
      </c>
      <c r="P248" s="13">
        <f t="shared" si="21"/>
        <v>0.23144104803493454</v>
      </c>
      <c r="Q248" s="5">
        <f t="shared" si="22"/>
        <v>202511</v>
      </c>
      <c r="R248" s="21">
        <f t="shared" si="23"/>
        <v>45962</v>
      </c>
    </row>
    <row r="249" spans="1:18" x14ac:dyDescent="0.25">
      <c r="A249" s="5" t="s">
        <v>549</v>
      </c>
      <c r="B249" s="14">
        <v>45968</v>
      </c>
      <c r="C249" s="5" t="s">
        <v>550</v>
      </c>
      <c r="D249" s="10" t="s">
        <v>42</v>
      </c>
      <c r="E249" s="10" t="s">
        <v>184</v>
      </c>
      <c r="F249" s="10" t="s">
        <v>49</v>
      </c>
      <c r="G249" s="15">
        <v>3</v>
      </c>
      <c r="H249" s="11">
        <v>3583.6380999999997</v>
      </c>
      <c r="I249" s="12">
        <v>5</v>
      </c>
      <c r="J249" s="11">
        <v>10213.4159</v>
      </c>
      <c r="K249" s="11">
        <v>3107.6492000000003</v>
      </c>
      <c r="L249" s="10" t="s">
        <v>17</v>
      </c>
      <c r="M249" s="5">
        <f t="shared" si="18"/>
        <v>2025</v>
      </c>
      <c r="N249" s="5">
        <f t="shared" si="19"/>
        <v>11</v>
      </c>
      <c r="O249" s="21">
        <f t="shared" si="20"/>
        <v>45962</v>
      </c>
      <c r="P249" s="13">
        <f t="shared" si="21"/>
        <v>0.3042712869452423</v>
      </c>
      <c r="Q249" s="5">
        <f t="shared" si="22"/>
        <v>202511</v>
      </c>
      <c r="R249" s="21">
        <f t="shared" si="23"/>
        <v>45962</v>
      </c>
    </row>
    <row r="250" spans="1:18" x14ac:dyDescent="0.25">
      <c r="A250" s="5" t="s">
        <v>551</v>
      </c>
      <c r="B250" s="14">
        <v>45395</v>
      </c>
      <c r="C250" s="5" t="s">
        <v>552</v>
      </c>
      <c r="D250" s="10" t="s">
        <v>14</v>
      </c>
      <c r="E250" s="10" t="s">
        <v>58</v>
      </c>
      <c r="F250" s="10" t="s">
        <v>49</v>
      </c>
      <c r="G250" s="15">
        <v>1</v>
      </c>
      <c r="H250" s="11">
        <v>2472.6818999999996</v>
      </c>
      <c r="I250" s="12">
        <v>5</v>
      </c>
      <c r="J250" s="11">
        <v>2348.7165999999997</v>
      </c>
      <c r="K250" s="11">
        <v>1237.7603999999999</v>
      </c>
      <c r="L250" s="10" t="s">
        <v>17</v>
      </c>
      <c r="M250" s="5">
        <f t="shared" si="18"/>
        <v>2024</v>
      </c>
      <c r="N250" s="5">
        <f t="shared" si="19"/>
        <v>4</v>
      </c>
      <c r="O250" s="21">
        <f t="shared" si="20"/>
        <v>45383</v>
      </c>
      <c r="P250" s="13">
        <f t="shared" si="21"/>
        <v>0.52699435938759065</v>
      </c>
      <c r="Q250" s="5">
        <f t="shared" si="22"/>
        <v>202404</v>
      </c>
      <c r="R250" s="21">
        <f t="shared" si="23"/>
        <v>45383</v>
      </c>
    </row>
    <row r="251" spans="1:18" x14ac:dyDescent="0.25">
      <c r="A251" s="5" t="s">
        <v>553</v>
      </c>
      <c r="B251" s="14">
        <v>45345</v>
      </c>
      <c r="C251" s="5" t="s">
        <v>554</v>
      </c>
      <c r="D251" s="10" t="s">
        <v>14</v>
      </c>
      <c r="E251" s="10" t="s">
        <v>64</v>
      </c>
      <c r="F251" s="10" t="s">
        <v>16</v>
      </c>
      <c r="G251" s="15">
        <v>1</v>
      </c>
      <c r="H251" s="11">
        <v>6351.5655999999999</v>
      </c>
      <c r="I251" s="12">
        <v>10</v>
      </c>
      <c r="J251" s="11">
        <v>5716.5982999999997</v>
      </c>
      <c r="K251" s="11">
        <v>1299.2699</v>
      </c>
      <c r="L251" s="10" t="s">
        <v>23</v>
      </c>
      <c r="M251" s="5">
        <f t="shared" si="18"/>
        <v>2024</v>
      </c>
      <c r="N251" s="5">
        <f t="shared" si="19"/>
        <v>2</v>
      </c>
      <c r="O251" s="21">
        <f t="shared" si="20"/>
        <v>45323</v>
      </c>
      <c r="P251" s="13">
        <f t="shared" si="21"/>
        <v>0.22728025161397122</v>
      </c>
      <c r="Q251" s="5">
        <f t="shared" si="22"/>
        <v>202402</v>
      </c>
      <c r="R251" s="21">
        <f t="shared" si="23"/>
        <v>45323</v>
      </c>
    </row>
    <row r="252" spans="1:18" x14ac:dyDescent="0.25">
      <c r="A252" s="5" t="s">
        <v>555</v>
      </c>
      <c r="B252" s="14">
        <v>45777</v>
      </c>
      <c r="C252" s="5" t="s">
        <v>355</v>
      </c>
      <c r="D252" s="10" t="s">
        <v>26</v>
      </c>
      <c r="E252" s="10" t="s">
        <v>556</v>
      </c>
      <c r="F252" s="10" t="s">
        <v>49</v>
      </c>
      <c r="G252" s="15">
        <v>1</v>
      </c>
      <c r="H252" s="11">
        <v>7217.4300999999996</v>
      </c>
      <c r="I252" s="12">
        <v>0</v>
      </c>
      <c r="J252" s="11">
        <v>7217.4300999999996</v>
      </c>
      <c r="K252" s="11">
        <v>3002.6098999999999</v>
      </c>
      <c r="L252" s="10" t="s">
        <v>23</v>
      </c>
      <c r="M252" s="5">
        <f t="shared" si="18"/>
        <v>2025</v>
      </c>
      <c r="N252" s="5">
        <f t="shared" si="19"/>
        <v>4</v>
      </c>
      <c r="O252" s="21">
        <f t="shared" si="20"/>
        <v>45748</v>
      </c>
      <c r="P252" s="13">
        <f t="shared" si="21"/>
        <v>0.41602202700930907</v>
      </c>
      <c r="Q252" s="5">
        <f t="shared" si="22"/>
        <v>202504</v>
      </c>
      <c r="R252" s="21">
        <f t="shared" si="23"/>
        <v>45748</v>
      </c>
    </row>
    <row r="253" spans="1:18" x14ac:dyDescent="0.25">
      <c r="A253" s="5" t="s">
        <v>557</v>
      </c>
      <c r="B253" s="14">
        <v>45435</v>
      </c>
      <c r="C253" s="5" t="s">
        <v>394</v>
      </c>
      <c r="D253" s="10" t="s">
        <v>42</v>
      </c>
      <c r="E253" s="10" t="s">
        <v>55</v>
      </c>
      <c r="F253" s="10" t="s">
        <v>16</v>
      </c>
      <c r="G253" s="15">
        <v>2</v>
      </c>
      <c r="H253" s="11">
        <v>9013.5074999999997</v>
      </c>
      <c r="I253" s="12">
        <v>20</v>
      </c>
      <c r="J253" s="11">
        <v>14421.611999999999</v>
      </c>
      <c r="K253" s="11">
        <v>2408.3334999999997</v>
      </c>
      <c r="L253" s="10" t="s">
        <v>23</v>
      </c>
      <c r="M253" s="5">
        <f t="shared" si="18"/>
        <v>2024</v>
      </c>
      <c r="N253" s="5">
        <f t="shared" si="19"/>
        <v>5</v>
      </c>
      <c r="O253" s="21">
        <f t="shared" si="20"/>
        <v>45413</v>
      </c>
      <c r="P253" s="13">
        <f t="shared" si="21"/>
        <v>0.16699475065616798</v>
      </c>
      <c r="Q253" s="5">
        <f t="shared" si="22"/>
        <v>202405</v>
      </c>
      <c r="R253" s="21">
        <f t="shared" si="23"/>
        <v>45413</v>
      </c>
    </row>
    <row r="254" spans="1:18" x14ac:dyDescent="0.25">
      <c r="A254" s="5" t="s">
        <v>558</v>
      </c>
      <c r="B254" s="14">
        <v>45987</v>
      </c>
      <c r="C254" s="5" t="s">
        <v>559</v>
      </c>
      <c r="D254" s="10" t="s">
        <v>26</v>
      </c>
      <c r="E254" s="10" t="s">
        <v>460</v>
      </c>
      <c r="F254" s="10" t="s">
        <v>75</v>
      </c>
      <c r="G254" s="15">
        <v>1</v>
      </c>
      <c r="H254" s="11">
        <v>2506.7486999999996</v>
      </c>
      <c r="I254" s="12">
        <v>0</v>
      </c>
      <c r="J254" s="11">
        <v>2506.7486999999996</v>
      </c>
      <c r="K254" s="11">
        <v>780.69749999999999</v>
      </c>
      <c r="L254" s="10" t="s">
        <v>17</v>
      </c>
      <c r="M254" s="5">
        <f t="shared" si="18"/>
        <v>2025</v>
      </c>
      <c r="N254" s="5">
        <f t="shared" si="19"/>
        <v>11</v>
      </c>
      <c r="O254" s="21">
        <f t="shared" si="20"/>
        <v>45962</v>
      </c>
      <c r="P254" s="13">
        <f t="shared" si="21"/>
        <v>0.3114382785956965</v>
      </c>
      <c r="Q254" s="5">
        <f t="shared" si="22"/>
        <v>202511</v>
      </c>
      <c r="R254" s="21">
        <f t="shared" si="23"/>
        <v>45962</v>
      </c>
    </row>
    <row r="255" spans="1:18" x14ac:dyDescent="0.25">
      <c r="A255" s="5" t="s">
        <v>560</v>
      </c>
      <c r="B255" s="14">
        <v>45445</v>
      </c>
      <c r="C255" s="5" t="s">
        <v>82</v>
      </c>
      <c r="D255" s="10" t="s">
        <v>37</v>
      </c>
      <c r="E255" s="10" t="s">
        <v>222</v>
      </c>
      <c r="F255" s="10" t="s">
        <v>22</v>
      </c>
      <c r="G255" s="15">
        <v>2</v>
      </c>
      <c r="H255" s="11">
        <v>4121.1364999999996</v>
      </c>
      <c r="I255" s="12">
        <v>0</v>
      </c>
      <c r="J255" s="11">
        <v>8242.2729999999992</v>
      </c>
      <c r="K255" s="11">
        <v>5046.6178999999993</v>
      </c>
      <c r="L255" s="10" t="s">
        <v>23</v>
      </c>
      <c r="M255" s="5">
        <f t="shared" si="18"/>
        <v>2024</v>
      </c>
      <c r="N255" s="5">
        <f t="shared" si="19"/>
        <v>6</v>
      </c>
      <c r="O255" s="21">
        <f t="shared" si="20"/>
        <v>45444</v>
      </c>
      <c r="P255" s="13">
        <f t="shared" si="21"/>
        <v>0.61228473019517793</v>
      </c>
      <c r="Q255" s="5">
        <f t="shared" si="22"/>
        <v>202406</v>
      </c>
      <c r="R255" s="21">
        <f t="shared" si="23"/>
        <v>45444</v>
      </c>
    </row>
    <row r="256" spans="1:18" x14ac:dyDescent="0.25">
      <c r="A256" s="5" t="s">
        <v>561</v>
      </c>
      <c r="B256" s="14">
        <v>45454</v>
      </c>
      <c r="C256" s="5" t="s">
        <v>25</v>
      </c>
      <c r="D256" s="10" t="s">
        <v>42</v>
      </c>
      <c r="E256" s="10" t="s">
        <v>291</v>
      </c>
      <c r="F256" s="10" t="s">
        <v>22</v>
      </c>
      <c r="G256" s="15">
        <v>3</v>
      </c>
      <c r="H256" s="11">
        <v>3227.8292999999999</v>
      </c>
      <c r="I256" s="12">
        <v>5</v>
      </c>
      <c r="J256" s="11">
        <v>9198.9822999999997</v>
      </c>
      <c r="K256" s="11">
        <v>5591.6867000000002</v>
      </c>
      <c r="L256" s="10" t="s">
        <v>17</v>
      </c>
      <c r="M256" s="5">
        <f t="shared" si="18"/>
        <v>2024</v>
      </c>
      <c r="N256" s="5">
        <f t="shared" si="19"/>
        <v>6</v>
      </c>
      <c r="O256" s="21">
        <f t="shared" si="20"/>
        <v>45444</v>
      </c>
      <c r="P256" s="13">
        <f t="shared" si="21"/>
        <v>0.60785927373726989</v>
      </c>
      <c r="Q256" s="5">
        <f t="shared" si="22"/>
        <v>202406</v>
      </c>
      <c r="R256" s="21">
        <f t="shared" si="23"/>
        <v>45444</v>
      </c>
    </row>
    <row r="257" spans="1:18" x14ac:dyDescent="0.25">
      <c r="A257" s="5" t="s">
        <v>562</v>
      </c>
      <c r="B257" s="14">
        <v>46013</v>
      </c>
      <c r="C257" s="5" t="s">
        <v>563</v>
      </c>
      <c r="D257" s="10" t="s">
        <v>42</v>
      </c>
      <c r="E257" s="10" t="s">
        <v>314</v>
      </c>
      <c r="F257" s="10" t="s">
        <v>16</v>
      </c>
      <c r="G257" s="15">
        <v>1</v>
      </c>
      <c r="H257" s="11">
        <v>13352.293</v>
      </c>
      <c r="I257" s="12">
        <v>0</v>
      </c>
      <c r="J257" s="11">
        <v>13352.293</v>
      </c>
      <c r="K257" s="11">
        <v>1161.1100999999999</v>
      </c>
      <c r="L257" s="10" t="s">
        <v>34</v>
      </c>
      <c r="M257" s="5">
        <f t="shared" si="18"/>
        <v>2025</v>
      </c>
      <c r="N257" s="5">
        <f t="shared" si="19"/>
        <v>12</v>
      </c>
      <c r="O257" s="21">
        <f t="shared" si="20"/>
        <v>45992</v>
      </c>
      <c r="P257" s="13">
        <f t="shared" si="21"/>
        <v>8.6959603118355766E-2</v>
      </c>
      <c r="Q257" s="5">
        <f t="shared" si="22"/>
        <v>202512</v>
      </c>
      <c r="R257" s="21">
        <f t="shared" si="23"/>
        <v>45992</v>
      </c>
    </row>
    <row r="258" spans="1:18" x14ac:dyDescent="0.25">
      <c r="A258" s="5" t="s">
        <v>564</v>
      </c>
      <c r="B258" s="14">
        <v>46013</v>
      </c>
      <c r="C258" s="5" t="s">
        <v>565</v>
      </c>
      <c r="D258" s="10" t="s">
        <v>37</v>
      </c>
      <c r="E258" s="10" t="s">
        <v>94</v>
      </c>
      <c r="F258" s="10" t="s">
        <v>75</v>
      </c>
      <c r="G258" s="15">
        <v>2</v>
      </c>
      <c r="H258" s="11">
        <v>5437.4398000000001</v>
      </c>
      <c r="I258" s="12">
        <v>0</v>
      </c>
      <c r="J258" s="11">
        <v>10874.8796</v>
      </c>
      <c r="K258" s="11">
        <v>1710.9103999999998</v>
      </c>
      <c r="L258" s="10" t="s">
        <v>23</v>
      </c>
      <c r="M258" s="5">
        <f t="shared" ref="M258:M321" si="24">YEAR(B258)</f>
        <v>2025</v>
      </c>
      <c r="N258" s="5">
        <f t="shared" ref="N258:N321" si="25">MONTH(B258)</f>
        <v>12</v>
      </c>
      <c r="O258" s="21">
        <f t="shared" ref="O258:O321" si="26">DATE(YEAR(B258),MONTH(B258),1)</f>
        <v>45992</v>
      </c>
      <c r="P258" s="13">
        <f t="shared" ref="P258:P321" si="27">(K258/J258)</f>
        <v>0.15732683605986772</v>
      </c>
      <c r="Q258" s="5">
        <f t="shared" ref="Q258:Q321" si="28">YEAR(B258)*100+MONTH(B258)</f>
        <v>202512</v>
      </c>
      <c r="R258" s="21">
        <f t="shared" ref="R258:R321" si="29">DATE(YEAR(B258),MONTH(B258),1)</f>
        <v>45992</v>
      </c>
    </row>
    <row r="259" spans="1:18" x14ac:dyDescent="0.25">
      <c r="A259" s="5" t="s">
        <v>566</v>
      </c>
      <c r="B259" s="14">
        <v>45956</v>
      </c>
      <c r="C259" s="5" t="s">
        <v>567</v>
      </c>
      <c r="D259" s="10" t="s">
        <v>26</v>
      </c>
      <c r="E259" s="10" t="s">
        <v>30</v>
      </c>
      <c r="F259" s="10" t="s">
        <v>16</v>
      </c>
      <c r="G259" s="15">
        <v>4</v>
      </c>
      <c r="H259" s="11">
        <v>12907.531999999999</v>
      </c>
      <c r="I259" s="12">
        <v>0</v>
      </c>
      <c r="J259" s="11">
        <v>51630.127999999997</v>
      </c>
      <c r="K259" s="11">
        <v>10925.0335</v>
      </c>
      <c r="L259" s="10" t="s">
        <v>23</v>
      </c>
      <c r="M259" s="5">
        <f t="shared" si="24"/>
        <v>2025</v>
      </c>
      <c r="N259" s="5">
        <f t="shared" si="25"/>
        <v>10</v>
      </c>
      <c r="O259" s="21">
        <f t="shared" si="26"/>
        <v>45931</v>
      </c>
      <c r="P259" s="13">
        <f t="shared" si="27"/>
        <v>0.21160190615835778</v>
      </c>
      <c r="Q259" s="5">
        <f t="shared" si="28"/>
        <v>202510</v>
      </c>
      <c r="R259" s="21">
        <f t="shared" si="29"/>
        <v>45931</v>
      </c>
    </row>
    <row r="260" spans="1:18" x14ac:dyDescent="0.25">
      <c r="A260" s="5" t="s">
        <v>568</v>
      </c>
      <c r="B260" s="14">
        <v>45556</v>
      </c>
      <c r="C260" s="5" t="s">
        <v>569</v>
      </c>
      <c r="D260" s="10" t="s">
        <v>42</v>
      </c>
      <c r="E260" s="10" t="s">
        <v>187</v>
      </c>
      <c r="F260" s="10" t="s">
        <v>75</v>
      </c>
      <c r="G260" s="15">
        <v>2</v>
      </c>
      <c r="H260" s="11">
        <v>1994.8003999999999</v>
      </c>
      <c r="I260" s="12">
        <v>5</v>
      </c>
      <c r="J260" s="11">
        <v>3789.9314999999997</v>
      </c>
      <c r="K260" s="11">
        <v>866.81079999999997</v>
      </c>
      <c r="L260" s="10" t="s">
        <v>23</v>
      </c>
      <c r="M260" s="5">
        <f t="shared" si="24"/>
        <v>2024</v>
      </c>
      <c r="N260" s="5">
        <f t="shared" si="25"/>
        <v>9</v>
      </c>
      <c r="O260" s="21">
        <f t="shared" si="26"/>
        <v>45536</v>
      </c>
      <c r="P260" s="13">
        <f t="shared" si="27"/>
        <v>0.22871410736579276</v>
      </c>
      <c r="Q260" s="5">
        <f t="shared" si="28"/>
        <v>202409</v>
      </c>
      <c r="R260" s="21">
        <f t="shared" si="29"/>
        <v>45536</v>
      </c>
    </row>
    <row r="261" spans="1:18" x14ac:dyDescent="0.25">
      <c r="A261" s="5" t="s">
        <v>570</v>
      </c>
      <c r="B261" s="14">
        <v>45717</v>
      </c>
      <c r="C261" s="5" t="s">
        <v>571</v>
      </c>
      <c r="D261" s="10" t="s">
        <v>26</v>
      </c>
      <c r="E261" s="10" t="s">
        <v>15</v>
      </c>
      <c r="F261" s="10" t="s">
        <v>16</v>
      </c>
      <c r="G261" s="15">
        <v>2</v>
      </c>
      <c r="H261" s="11">
        <v>4927.3841000000002</v>
      </c>
      <c r="I261" s="12">
        <v>0</v>
      </c>
      <c r="J261" s="11">
        <v>9854.7682000000004</v>
      </c>
      <c r="K261" s="11">
        <v>1973.9817999999998</v>
      </c>
      <c r="L261" s="10" t="s">
        <v>17</v>
      </c>
      <c r="M261" s="5">
        <f t="shared" si="24"/>
        <v>2025</v>
      </c>
      <c r="N261" s="5">
        <f t="shared" si="25"/>
        <v>3</v>
      </c>
      <c r="O261" s="21">
        <f t="shared" si="26"/>
        <v>45717</v>
      </c>
      <c r="P261" s="13">
        <f t="shared" si="27"/>
        <v>0.20030727866333778</v>
      </c>
      <c r="Q261" s="5">
        <f t="shared" si="28"/>
        <v>202503</v>
      </c>
      <c r="R261" s="21">
        <f t="shared" si="29"/>
        <v>45717</v>
      </c>
    </row>
    <row r="262" spans="1:18" x14ac:dyDescent="0.25">
      <c r="A262" s="5" t="s">
        <v>572</v>
      </c>
      <c r="B262" s="14">
        <v>45818</v>
      </c>
      <c r="C262" s="5" t="s">
        <v>573</v>
      </c>
      <c r="D262" s="10" t="s">
        <v>20</v>
      </c>
      <c r="E262" s="10" t="s">
        <v>21</v>
      </c>
      <c r="F262" s="10" t="s">
        <v>22</v>
      </c>
      <c r="G262" s="15">
        <v>1</v>
      </c>
      <c r="H262" s="11">
        <v>4046.3787999999995</v>
      </c>
      <c r="I262" s="12">
        <v>10</v>
      </c>
      <c r="J262" s="11">
        <v>3641.3623999999995</v>
      </c>
      <c r="K262" s="11">
        <v>2064.8265999999999</v>
      </c>
      <c r="L262" s="10" t="s">
        <v>34</v>
      </c>
      <c r="M262" s="5">
        <f t="shared" si="24"/>
        <v>2025</v>
      </c>
      <c r="N262" s="5">
        <f t="shared" si="25"/>
        <v>6</v>
      </c>
      <c r="O262" s="21">
        <f t="shared" si="26"/>
        <v>45809</v>
      </c>
      <c r="P262" s="13">
        <f t="shared" si="27"/>
        <v>0.56704781704781704</v>
      </c>
      <c r="Q262" s="5">
        <f t="shared" si="28"/>
        <v>202506</v>
      </c>
      <c r="R262" s="21">
        <f t="shared" si="29"/>
        <v>45809</v>
      </c>
    </row>
    <row r="263" spans="1:18" x14ac:dyDescent="0.25">
      <c r="A263" s="5" t="s">
        <v>574</v>
      </c>
      <c r="B263" s="14">
        <v>45669</v>
      </c>
      <c r="C263" s="5" t="s">
        <v>575</v>
      </c>
      <c r="D263" s="10" t="s">
        <v>26</v>
      </c>
      <c r="E263" s="10" t="s">
        <v>556</v>
      </c>
      <c r="F263" s="10" t="s">
        <v>49</v>
      </c>
      <c r="G263" s="15">
        <v>3</v>
      </c>
      <c r="H263" s="11">
        <v>6676.1464999999998</v>
      </c>
      <c r="I263" s="12">
        <v>10</v>
      </c>
      <c r="J263" s="11">
        <v>18026.0687</v>
      </c>
      <c r="K263" s="11">
        <v>5816.9060999999992</v>
      </c>
      <c r="L263" s="10" t="s">
        <v>17</v>
      </c>
      <c r="M263" s="5">
        <f t="shared" si="24"/>
        <v>2025</v>
      </c>
      <c r="N263" s="5">
        <f t="shared" si="25"/>
        <v>1</v>
      </c>
      <c r="O263" s="21">
        <f t="shared" si="26"/>
        <v>45658</v>
      </c>
      <c r="P263" s="13">
        <f t="shared" si="27"/>
        <v>0.32269410467741083</v>
      </c>
      <c r="Q263" s="5">
        <f t="shared" si="28"/>
        <v>202501</v>
      </c>
      <c r="R263" s="21">
        <f t="shared" si="29"/>
        <v>45658</v>
      </c>
    </row>
    <row r="264" spans="1:18" x14ac:dyDescent="0.25">
      <c r="A264" s="5" t="s">
        <v>576</v>
      </c>
      <c r="B264" s="14">
        <v>45313</v>
      </c>
      <c r="C264" s="5" t="s">
        <v>577</v>
      </c>
      <c r="D264" s="10" t="s">
        <v>42</v>
      </c>
      <c r="E264" s="10" t="s">
        <v>136</v>
      </c>
      <c r="F264" s="10" t="s">
        <v>75</v>
      </c>
      <c r="G264" s="15">
        <v>1</v>
      </c>
      <c r="H264" s="11">
        <v>3714.2275</v>
      </c>
      <c r="I264" s="12">
        <v>15</v>
      </c>
      <c r="J264" s="11">
        <v>3156.8568</v>
      </c>
      <c r="K264" s="11">
        <v>702.15459999999996</v>
      </c>
      <c r="L264" s="10" t="s">
        <v>17</v>
      </c>
      <c r="M264" s="5">
        <f t="shared" si="24"/>
        <v>2024</v>
      </c>
      <c r="N264" s="5">
        <f t="shared" si="25"/>
        <v>1</v>
      </c>
      <c r="O264" s="21">
        <f t="shared" si="26"/>
        <v>45292</v>
      </c>
      <c r="P264" s="13">
        <f t="shared" si="27"/>
        <v>0.22242206235011988</v>
      </c>
      <c r="Q264" s="5">
        <f t="shared" si="28"/>
        <v>202401</v>
      </c>
      <c r="R264" s="21">
        <f t="shared" si="29"/>
        <v>45292</v>
      </c>
    </row>
    <row r="265" spans="1:18" x14ac:dyDescent="0.25">
      <c r="A265" s="5" t="s">
        <v>578</v>
      </c>
      <c r="B265" s="14">
        <v>45496</v>
      </c>
      <c r="C265" s="5" t="s">
        <v>579</v>
      </c>
      <c r="D265" s="10" t="s">
        <v>14</v>
      </c>
      <c r="E265" s="10" t="s">
        <v>269</v>
      </c>
      <c r="F265" s="10" t="s">
        <v>75</v>
      </c>
      <c r="G265" s="15">
        <v>1</v>
      </c>
      <c r="H265" s="11">
        <v>5478.1306999999997</v>
      </c>
      <c r="I265" s="12">
        <v>5</v>
      </c>
      <c r="J265" s="11">
        <v>5204.6499999999996</v>
      </c>
      <c r="K265" s="11">
        <v>1677.7899</v>
      </c>
      <c r="L265" s="10" t="s">
        <v>17</v>
      </c>
      <c r="M265" s="5">
        <f t="shared" si="24"/>
        <v>2024</v>
      </c>
      <c r="N265" s="5">
        <f t="shared" si="25"/>
        <v>7</v>
      </c>
      <c r="O265" s="21">
        <f t="shared" si="26"/>
        <v>45474</v>
      </c>
      <c r="P265" s="13">
        <f t="shared" si="27"/>
        <v>0.32236363636363641</v>
      </c>
      <c r="Q265" s="5">
        <f t="shared" si="28"/>
        <v>202407</v>
      </c>
      <c r="R265" s="21">
        <f t="shared" si="29"/>
        <v>45474</v>
      </c>
    </row>
    <row r="266" spans="1:18" x14ac:dyDescent="0.25">
      <c r="A266" s="5" t="s">
        <v>580</v>
      </c>
      <c r="B266" s="14">
        <v>45846</v>
      </c>
      <c r="C266" s="5" t="s">
        <v>581</v>
      </c>
      <c r="D266" s="10" t="s">
        <v>26</v>
      </c>
      <c r="E266" s="10" t="s">
        <v>108</v>
      </c>
      <c r="F266" s="10" t="s">
        <v>75</v>
      </c>
      <c r="G266" s="15">
        <v>3</v>
      </c>
      <c r="H266" s="11">
        <v>1180.9823999999999</v>
      </c>
      <c r="I266" s="12">
        <v>15</v>
      </c>
      <c r="J266" s="11">
        <v>3011.1266000000001</v>
      </c>
      <c r="K266" s="11">
        <v>1007.8095</v>
      </c>
      <c r="L266" s="10" t="s">
        <v>23</v>
      </c>
      <c r="M266" s="5">
        <f t="shared" si="24"/>
        <v>2025</v>
      </c>
      <c r="N266" s="5">
        <f t="shared" si="25"/>
        <v>7</v>
      </c>
      <c r="O266" s="21">
        <f t="shared" si="26"/>
        <v>45839</v>
      </c>
      <c r="P266" s="13">
        <f t="shared" si="27"/>
        <v>0.3346951602765556</v>
      </c>
      <c r="Q266" s="5">
        <f t="shared" si="28"/>
        <v>202507</v>
      </c>
      <c r="R266" s="21">
        <f t="shared" si="29"/>
        <v>45839</v>
      </c>
    </row>
    <row r="267" spans="1:18" x14ac:dyDescent="0.25">
      <c r="A267" s="5" t="s">
        <v>582</v>
      </c>
      <c r="B267" s="14">
        <v>45686</v>
      </c>
      <c r="C267" s="5" t="s">
        <v>213</v>
      </c>
      <c r="D267" s="10" t="s">
        <v>20</v>
      </c>
      <c r="E267" s="10" t="s">
        <v>211</v>
      </c>
      <c r="F267" s="10" t="s">
        <v>39</v>
      </c>
      <c r="G267" s="15">
        <v>3</v>
      </c>
      <c r="H267" s="11">
        <v>6188.8020000000006</v>
      </c>
      <c r="I267" s="12">
        <v>10</v>
      </c>
      <c r="J267" s="11">
        <v>16709.7654</v>
      </c>
      <c r="K267" s="11">
        <v>6488.7790999999988</v>
      </c>
      <c r="L267" s="10" t="s">
        <v>17</v>
      </c>
      <c r="M267" s="5">
        <f t="shared" si="24"/>
        <v>2025</v>
      </c>
      <c r="N267" s="5">
        <f t="shared" si="25"/>
        <v>1</v>
      </c>
      <c r="O267" s="21">
        <f t="shared" si="26"/>
        <v>45658</v>
      </c>
      <c r="P267" s="13">
        <f t="shared" si="27"/>
        <v>0.3883225733378638</v>
      </c>
      <c r="Q267" s="5">
        <f t="shared" si="28"/>
        <v>202501</v>
      </c>
      <c r="R267" s="21">
        <f t="shared" si="29"/>
        <v>45658</v>
      </c>
    </row>
    <row r="268" spans="1:18" x14ac:dyDescent="0.25">
      <c r="A268" s="5" t="s">
        <v>583</v>
      </c>
      <c r="B268" s="14">
        <v>46015</v>
      </c>
      <c r="C268" s="5" t="s">
        <v>584</v>
      </c>
      <c r="D268" s="10" t="s">
        <v>42</v>
      </c>
      <c r="E268" s="10" t="s">
        <v>556</v>
      </c>
      <c r="F268" s="10" t="s">
        <v>49</v>
      </c>
      <c r="G268" s="15">
        <v>1</v>
      </c>
      <c r="H268" s="11">
        <v>1462.9798000000001</v>
      </c>
      <c r="I268" s="12">
        <v>10</v>
      </c>
      <c r="J268" s="11">
        <v>1316.3033</v>
      </c>
      <c r="K268" s="11">
        <v>604.6857</v>
      </c>
      <c r="L268" s="10" t="s">
        <v>17</v>
      </c>
      <c r="M268" s="5">
        <f t="shared" si="24"/>
        <v>2025</v>
      </c>
      <c r="N268" s="5">
        <f t="shared" si="25"/>
        <v>12</v>
      </c>
      <c r="O268" s="21">
        <f t="shared" si="26"/>
        <v>45992</v>
      </c>
      <c r="P268" s="13">
        <f t="shared" si="27"/>
        <v>0.45938173975557151</v>
      </c>
      <c r="Q268" s="5">
        <f t="shared" si="28"/>
        <v>202512</v>
      </c>
      <c r="R268" s="21">
        <f t="shared" si="29"/>
        <v>45992</v>
      </c>
    </row>
    <row r="269" spans="1:18" x14ac:dyDescent="0.25">
      <c r="A269" s="5" t="s">
        <v>585</v>
      </c>
      <c r="B269" s="14">
        <v>45329</v>
      </c>
      <c r="C269" s="5" t="s">
        <v>586</v>
      </c>
      <c r="D269" s="10" t="s">
        <v>20</v>
      </c>
      <c r="E269" s="10" t="s">
        <v>286</v>
      </c>
      <c r="F269" s="10" t="s">
        <v>39</v>
      </c>
      <c r="G269" s="15">
        <v>4</v>
      </c>
      <c r="H269" s="11">
        <v>2462.2725999999998</v>
      </c>
      <c r="I269" s="12">
        <v>25</v>
      </c>
      <c r="J269" s="11">
        <v>7386.8177999999998</v>
      </c>
      <c r="K269" s="11">
        <v>2608.0027999999998</v>
      </c>
      <c r="L269" s="10" t="s">
        <v>17</v>
      </c>
      <c r="M269" s="5">
        <f t="shared" si="24"/>
        <v>2024</v>
      </c>
      <c r="N269" s="5">
        <f t="shared" si="25"/>
        <v>2</v>
      </c>
      <c r="O269" s="21">
        <f t="shared" si="26"/>
        <v>45323</v>
      </c>
      <c r="P269" s="13">
        <f t="shared" si="27"/>
        <v>0.35306174737381502</v>
      </c>
      <c r="Q269" s="5">
        <f t="shared" si="28"/>
        <v>202402</v>
      </c>
      <c r="R269" s="21">
        <f t="shared" si="29"/>
        <v>45323</v>
      </c>
    </row>
    <row r="270" spans="1:18" x14ac:dyDescent="0.25">
      <c r="A270" s="5" t="s">
        <v>587</v>
      </c>
      <c r="B270" s="14">
        <v>46008</v>
      </c>
      <c r="C270" s="5" t="s">
        <v>588</v>
      </c>
      <c r="D270" s="10" t="s">
        <v>20</v>
      </c>
      <c r="E270" s="10" t="s">
        <v>80</v>
      </c>
      <c r="F270" s="10" t="s">
        <v>16</v>
      </c>
      <c r="G270" s="15">
        <v>3</v>
      </c>
      <c r="H270" s="11">
        <v>14173.681399999999</v>
      </c>
      <c r="I270" s="12">
        <v>0</v>
      </c>
      <c r="J270" s="11">
        <v>42521.044199999997</v>
      </c>
      <c r="K270" s="11">
        <v>9055.1446999999989</v>
      </c>
      <c r="L270" s="10" t="s">
        <v>17</v>
      </c>
      <c r="M270" s="5">
        <f t="shared" si="24"/>
        <v>2025</v>
      </c>
      <c r="N270" s="5">
        <f t="shared" si="25"/>
        <v>12</v>
      </c>
      <c r="O270" s="21">
        <f t="shared" si="26"/>
        <v>45992</v>
      </c>
      <c r="P270" s="13">
        <f t="shared" si="27"/>
        <v>0.21295678105666088</v>
      </c>
      <c r="Q270" s="5">
        <f t="shared" si="28"/>
        <v>202512</v>
      </c>
      <c r="R270" s="21">
        <f t="shared" si="29"/>
        <v>45992</v>
      </c>
    </row>
    <row r="271" spans="1:18" x14ac:dyDescent="0.25">
      <c r="A271" s="5" t="s">
        <v>589</v>
      </c>
      <c r="B271" s="14">
        <v>45409</v>
      </c>
      <c r="C271" s="5" t="s">
        <v>590</v>
      </c>
      <c r="D271" s="10" t="s">
        <v>26</v>
      </c>
      <c r="E271" s="10" t="s">
        <v>324</v>
      </c>
      <c r="F271" s="10" t="s">
        <v>16</v>
      </c>
      <c r="G271" s="15">
        <v>1</v>
      </c>
      <c r="H271" s="11">
        <v>12004.7618</v>
      </c>
      <c r="I271" s="12">
        <v>10</v>
      </c>
      <c r="J271" s="11">
        <v>10803.9071</v>
      </c>
      <c r="K271" s="11">
        <v>2145.2620999999999</v>
      </c>
      <c r="L271" s="10" t="s">
        <v>17</v>
      </c>
      <c r="M271" s="5">
        <f t="shared" si="24"/>
        <v>2024</v>
      </c>
      <c r="N271" s="5">
        <f t="shared" si="25"/>
        <v>4</v>
      </c>
      <c r="O271" s="21">
        <f t="shared" si="26"/>
        <v>45383</v>
      </c>
      <c r="P271" s="13">
        <f t="shared" si="27"/>
        <v>0.19856354558990977</v>
      </c>
      <c r="Q271" s="5">
        <f t="shared" si="28"/>
        <v>202404</v>
      </c>
      <c r="R271" s="21">
        <f t="shared" si="29"/>
        <v>45383</v>
      </c>
    </row>
    <row r="272" spans="1:18" x14ac:dyDescent="0.25">
      <c r="A272" s="5" t="s">
        <v>591</v>
      </c>
      <c r="B272" s="14">
        <v>45762</v>
      </c>
      <c r="C272" s="5" t="s">
        <v>326</v>
      </c>
      <c r="D272" s="10" t="s">
        <v>14</v>
      </c>
      <c r="E272" s="10" t="s">
        <v>309</v>
      </c>
      <c r="F272" s="10" t="s">
        <v>75</v>
      </c>
      <c r="G272" s="15">
        <v>1</v>
      </c>
      <c r="H272" s="11">
        <v>3593.1010999999999</v>
      </c>
      <c r="I272" s="12">
        <v>10</v>
      </c>
      <c r="J272" s="11">
        <v>3233.5070999999998</v>
      </c>
      <c r="K272" s="11">
        <v>546.01509999999996</v>
      </c>
      <c r="L272" s="10" t="s">
        <v>34</v>
      </c>
      <c r="M272" s="5">
        <f t="shared" si="24"/>
        <v>2025</v>
      </c>
      <c r="N272" s="5">
        <f t="shared" si="25"/>
        <v>4</v>
      </c>
      <c r="O272" s="21">
        <f t="shared" si="26"/>
        <v>45748</v>
      </c>
      <c r="P272" s="13">
        <f t="shared" si="27"/>
        <v>0.16886157448053848</v>
      </c>
      <c r="Q272" s="5">
        <f t="shared" si="28"/>
        <v>202504</v>
      </c>
      <c r="R272" s="21">
        <f t="shared" si="29"/>
        <v>45748</v>
      </c>
    </row>
    <row r="273" spans="1:18" x14ac:dyDescent="0.25">
      <c r="A273" s="5" t="s">
        <v>592</v>
      </c>
      <c r="B273" s="14">
        <v>45460</v>
      </c>
      <c r="C273" s="5" t="s">
        <v>593</v>
      </c>
      <c r="D273" s="10" t="s">
        <v>26</v>
      </c>
      <c r="E273" s="10" t="s">
        <v>83</v>
      </c>
      <c r="F273" s="10" t="s">
        <v>22</v>
      </c>
      <c r="G273" s="15">
        <v>1</v>
      </c>
      <c r="H273" s="11">
        <v>4290.5241999999998</v>
      </c>
      <c r="I273" s="12">
        <v>10</v>
      </c>
      <c r="J273" s="11">
        <v>3861.8503000000001</v>
      </c>
      <c r="K273" s="11">
        <v>1741.1919999999998</v>
      </c>
      <c r="L273" s="10" t="s">
        <v>17</v>
      </c>
      <c r="M273" s="5">
        <f t="shared" si="24"/>
        <v>2024</v>
      </c>
      <c r="N273" s="5">
        <f t="shared" si="25"/>
        <v>6</v>
      </c>
      <c r="O273" s="21">
        <f t="shared" si="26"/>
        <v>45444</v>
      </c>
      <c r="P273" s="13">
        <f t="shared" si="27"/>
        <v>0.4508698848321489</v>
      </c>
      <c r="Q273" s="5">
        <f t="shared" si="28"/>
        <v>202406</v>
      </c>
      <c r="R273" s="21">
        <f t="shared" si="29"/>
        <v>45444</v>
      </c>
    </row>
    <row r="274" spans="1:18" x14ac:dyDescent="0.25">
      <c r="A274" s="5" t="s">
        <v>594</v>
      </c>
      <c r="B274" s="14">
        <v>45319</v>
      </c>
      <c r="C274" s="5" t="s">
        <v>595</v>
      </c>
      <c r="D274" s="10" t="s">
        <v>20</v>
      </c>
      <c r="E274" s="10" t="s">
        <v>154</v>
      </c>
      <c r="F274" s="10" t="s">
        <v>39</v>
      </c>
      <c r="G274" s="15">
        <v>1</v>
      </c>
      <c r="H274" s="11">
        <v>6212.4594999999999</v>
      </c>
      <c r="I274" s="12">
        <v>10</v>
      </c>
      <c r="J274" s="11">
        <v>5591.6867000000002</v>
      </c>
      <c r="K274" s="11">
        <v>2108.3564000000001</v>
      </c>
      <c r="L274" s="10" t="s">
        <v>23</v>
      </c>
      <c r="M274" s="5">
        <f t="shared" si="24"/>
        <v>2024</v>
      </c>
      <c r="N274" s="5">
        <f t="shared" si="25"/>
        <v>1</v>
      </c>
      <c r="O274" s="21">
        <f t="shared" si="26"/>
        <v>45292</v>
      </c>
      <c r="P274" s="13">
        <f t="shared" si="27"/>
        <v>0.3770519546454561</v>
      </c>
      <c r="Q274" s="5">
        <f t="shared" si="28"/>
        <v>202401</v>
      </c>
      <c r="R274" s="21">
        <f t="shared" si="29"/>
        <v>45292</v>
      </c>
    </row>
    <row r="275" spans="1:18" x14ac:dyDescent="0.25">
      <c r="A275" s="5" t="s">
        <v>596</v>
      </c>
      <c r="B275" s="14">
        <v>45396</v>
      </c>
      <c r="C275" s="5" t="s">
        <v>597</v>
      </c>
      <c r="D275" s="10" t="s">
        <v>20</v>
      </c>
      <c r="E275" s="10" t="s">
        <v>118</v>
      </c>
      <c r="F275" s="10" t="s">
        <v>49</v>
      </c>
      <c r="G275" s="15">
        <v>3</v>
      </c>
      <c r="H275" s="11">
        <v>5696.7259999999997</v>
      </c>
      <c r="I275" s="12">
        <v>25</v>
      </c>
      <c r="J275" s="11">
        <v>12817.633499999998</v>
      </c>
      <c r="K275" s="11">
        <v>3871.3132999999993</v>
      </c>
      <c r="L275" s="10" t="s">
        <v>34</v>
      </c>
      <c r="M275" s="5">
        <f t="shared" si="24"/>
        <v>2024</v>
      </c>
      <c r="N275" s="5">
        <f t="shared" si="25"/>
        <v>4</v>
      </c>
      <c r="O275" s="21">
        <f t="shared" si="26"/>
        <v>45383</v>
      </c>
      <c r="P275" s="13">
        <f t="shared" si="27"/>
        <v>0.30203026947212991</v>
      </c>
      <c r="Q275" s="5">
        <f t="shared" si="28"/>
        <v>202404</v>
      </c>
      <c r="R275" s="21">
        <f t="shared" si="29"/>
        <v>45383</v>
      </c>
    </row>
    <row r="276" spans="1:18" x14ac:dyDescent="0.25">
      <c r="A276" s="5" t="s">
        <v>598</v>
      </c>
      <c r="B276" s="14">
        <v>45364</v>
      </c>
      <c r="C276" s="5" t="s">
        <v>599</v>
      </c>
      <c r="D276" s="10" t="s">
        <v>14</v>
      </c>
      <c r="E276" s="10" t="s">
        <v>222</v>
      </c>
      <c r="F276" s="10" t="s">
        <v>22</v>
      </c>
      <c r="G276" s="15">
        <v>1</v>
      </c>
      <c r="H276" s="11">
        <v>2713.0421000000001</v>
      </c>
      <c r="I276" s="12">
        <v>0</v>
      </c>
      <c r="J276" s="11">
        <v>2713.0421000000001</v>
      </c>
      <c r="K276" s="11">
        <v>1660.7565</v>
      </c>
      <c r="L276" s="10" t="s">
        <v>23</v>
      </c>
      <c r="M276" s="5">
        <f t="shared" si="24"/>
        <v>2024</v>
      </c>
      <c r="N276" s="5">
        <f t="shared" si="25"/>
        <v>3</v>
      </c>
      <c r="O276" s="21">
        <f t="shared" si="26"/>
        <v>45352</v>
      </c>
      <c r="P276" s="13">
        <f t="shared" si="27"/>
        <v>0.61213812347401464</v>
      </c>
      <c r="Q276" s="5">
        <f t="shared" si="28"/>
        <v>202403</v>
      </c>
      <c r="R276" s="21">
        <f t="shared" si="29"/>
        <v>45352</v>
      </c>
    </row>
    <row r="277" spans="1:18" x14ac:dyDescent="0.25">
      <c r="A277" s="5" t="s">
        <v>600</v>
      </c>
      <c r="B277" s="14">
        <v>45619</v>
      </c>
      <c r="C277" s="5" t="s">
        <v>100</v>
      </c>
      <c r="D277" s="10" t="s">
        <v>26</v>
      </c>
      <c r="E277" s="10" t="s">
        <v>211</v>
      </c>
      <c r="F277" s="10" t="s">
        <v>39</v>
      </c>
      <c r="G277" s="15">
        <v>3</v>
      </c>
      <c r="H277" s="11">
        <v>4850.7338</v>
      </c>
      <c r="I277" s="12">
        <v>10</v>
      </c>
      <c r="J277" s="11">
        <v>13096.791999999999</v>
      </c>
      <c r="K277" s="11">
        <v>3170.105</v>
      </c>
      <c r="L277" s="10" t="s">
        <v>23</v>
      </c>
      <c r="M277" s="5">
        <f t="shared" si="24"/>
        <v>2024</v>
      </c>
      <c r="N277" s="5">
        <f t="shared" si="25"/>
        <v>11</v>
      </c>
      <c r="O277" s="21">
        <f t="shared" si="26"/>
        <v>45597</v>
      </c>
      <c r="P277" s="13">
        <f t="shared" si="27"/>
        <v>0.24205202312138729</v>
      </c>
      <c r="Q277" s="5">
        <f t="shared" si="28"/>
        <v>202411</v>
      </c>
      <c r="R277" s="21">
        <f t="shared" si="29"/>
        <v>45597</v>
      </c>
    </row>
    <row r="278" spans="1:18" x14ac:dyDescent="0.25">
      <c r="A278" s="5" t="s">
        <v>601</v>
      </c>
      <c r="B278" s="14">
        <v>45558</v>
      </c>
      <c r="C278" s="5" t="s">
        <v>353</v>
      </c>
      <c r="D278" s="10" t="s">
        <v>20</v>
      </c>
      <c r="E278" s="10" t="s">
        <v>184</v>
      </c>
      <c r="F278" s="10" t="s">
        <v>49</v>
      </c>
      <c r="G278" s="15">
        <v>2</v>
      </c>
      <c r="H278" s="11">
        <v>6481.2086999999992</v>
      </c>
      <c r="I278" s="12">
        <v>5</v>
      </c>
      <c r="J278" s="11">
        <v>12314.201899999998</v>
      </c>
      <c r="K278" s="11">
        <v>6096.0645999999997</v>
      </c>
      <c r="L278" s="10" t="s">
        <v>17</v>
      </c>
      <c r="M278" s="5">
        <f t="shared" si="24"/>
        <v>2024</v>
      </c>
      <c r="N278" s="5">
        <f t="shared" si="25"/>
        <v>9</v>
      </c>
      <c r="O278" s="21">
        <f t="shared" si="26"/>
        <v>45536</v>
      </c>
      <c r="P278" s="13">
        <f t="shared" si="27"/>
        <v>0.49504341812034125</v>
      </c>
      <c r="Q278" s="5">
        <f t="shared" si="28"/>
        <v>202409</v>
      </c>
      <c r="R278" s="21">
        <f t="shared" si="29"/>
        <v>45536</v>
      </c>
    </row>
    <row r="279" spans="1:18" x14ac:dyDescent="0.25">
      <c r="A279" s="5" t="s">
        <v>602</v>
      </c>
      <c r="B279" s="14">
        <v>45677</v>
      </c>
      <c r="C279" s="5" t="s">
        <v>603</v>
      </c>
      <c r="D279" s="10" t="s">
        <v>37</v>
      </c>
      <c r="E279" s="10" t="s">
        <v>61</v>
      </c>
      <c r="F279" s="10" t="s">
        <v>39</v>
      </c>
      <c r="G279" s="15">
        <v>1</v>
      </c>
      <c r="H279" s="11">
        <v>4951.9878999999992</v>
      </c>
      <c r="I279" s="12">
        <v>5</v>
      </c>
      <c r="J279" s="11">
        <v>4704.0572999999995</v>
      </c>
      <c r="K279" s="11">
        <v>1578.4284</v>
      </c>
      <c r="L279" s="10" t="s">
        <v>23</v>
      </c>
      <c r="M279" s="5">
        <f t="shared" si="24"/>
        <v>2025</v>
      </c>
      <c r="N279" s="5">
        <f t="shared" si="25"/>
        <v>1</v>
      </c>
      <c r="O279" s="21">
        <f t="shared" si="26"/>
        <v>45658</v>
      </c>
      <c r="P279" s="13">
        <f t="shared" si="27"/>
        <v>0.33554616777308394</v>
      </c>
      <c r="Q279" s="5">
        <f t="shared" si="28"/>
        <v>202501</v>
      </c>
      <c r="R279" s="21">
        <f t="shared" si="29"/>
        <v>45658</v>
      </c>
    </row>
    <row r="280" spans="1:18" x14ac:dyDescent="0.25">
      <c r="A280" s="5" t="s">
        <v>604</v>
      </c>
      <c r="B280" s="14">
        <v>45708</v>
      </c>
      <c r="C280" s="5" t="s">
        <v>605</v>
      </c>
      <c r="D280" s="10" t="s">
        <v>26</v>
      </c>
      <c r="E280" s="10" t="s">
        <v>291</v>
      </c>
      <c r="F280" s="10" t="s">
        <v>22</v>
      </c>
      <c r="G280" s="15">
        <v>5</v>
      </c>
      <c r="H280" s="11">
        <v>2051.5783999999999</v>
      </c>
      <c r="I280" s="12">
        <v>10</v>
      </c>
      <c r="J280" s="11">
        <v>9232.1028000000006</v>
      </c>
      <c r="K280" s="11">
        <v>5743.0946999999996</v>
      </c>
      <c r="L280" s="10" t="s">
        <v>17</v>
      </c>
      <c r="M280" s="5">
        <f t="shared" si="24"/>
        <v>2025</v>
      </c>
      <c r="N280" s="5">
        <f t="shared" si="25"/>
        <v>2</v>
      </c>
      <c r="O280" s="21">
        <f t="shared" si="26"/>
        <v>45689</v>
      </c>
      <c r="P280" s="13">
        <f t="shared" si="27"/>
        <v>0.62207872078720783</v>
      </c>
      <c r="Q280" s="5">
        <f t="shared" si="28"/>
        <v>202502</v>
      </c>
      <c r="R280" s="21">
        <f t="shared" si="29"/>
        <v>45689</v>
      </c>
    </row>
    <row r="281" spans="1:18" x14ac:dyDescent="0.25">
      <c r="A281" s="5" t="s">
        <v>606</v>
      </c>
      <c r="B281" s="14">
        <v>45584</v>
      </c>
      <c r="C281" s="5" t="s">
        <v>607</v>
      </c>
      <c r="D281" s="10" t="s">
        <v>14</v>
      </c>
      <c r="E281" s="10" t="s">
        <v>148</v>
      </c>
      <c r="F281" s="10" t="s">
        <v>16</v>
      </c>
      <c r="G281" s="15">
        <v>4</v>
      </c>
      <c r="H281" s="11">
        <v>5700.5111999999999</v>
      </c>
      <c r="I281" s="12">
        <v>25</v>
      </c>
      <c r="J281" s="11">
        <v>17101.533599999999</v>
      </c>
      <c r="K281" s="11">
        <v>2808.6183999999998</v>
      </c>
      <c r="L281" s="10" t="s">
        <v>23</v>
      </c>
      <c r="M281" s="5">
        <f t="shared" si="24"/>
        <v>2024</v>
      </c>
      <c r="N281" s="5">
        <f t="shared" si="25"/>
        <v>10</v>
      </c>
      <c r="O281" s="21">
        <f t="shared" si="26"/>
        <v>45566</v>
      </c>
      <c r="P281" s="13">
        <f t="shared" si="27"/>
        <v>0.16423196104471005</v>
      </c>
      <c r="Q281" s="5">
        <f t="shared" si="28"/>
        <v>202410</v>
      </c>
      <c r="R281" s="21">
        <f t="shared" si="29"/>
        <v>45566</v>
      </c>
    </row>
    <row r="282" spans="1:18" x14ac:dyDescent="0.25">
      <c r="A282" s="5" t="s">
        <v>608</v>
      </c>
      <c r="B282" s="14">
        <v>45402</v>
      </c>
      <c r="C282" s="5" t="s">
        <v>609</v>
      </c>
      <c r="D282" s="10" t="s">
        <v>20</v>
      </c>
      <c r="E282" s="10" t="s">
        <v>118</v>
      </c>
      <c r="F282" s="10" t="s">
        <v>49</v>
      </c>
      <c r="G282" s="15">
        <v>1</v>
      </c>
      <c r="H282" s="11">
        <v>7134.1556999999993</v>
      </c>
      <c r="I282" s="12">
        <v>25</v>
      </c>
      <c r="J282" s="11">
        <v>5350.3801999999996</v>
      </c>
      <c r="K282" s="11">
        <v>2677.0826999999999</v>
      </c>
      <c r="L282" s="10" t="s">
        <v>17</v>
      </c>
      <c r="M282" s="5">
        <f t="shared" si="24"/>
        <v>2024</v>
      </c>
      <c r="N282" s="5">
        <f t="shared" si="25"/>
        <v>4</v>
      </c>
      <c r="O282" s="21">
        <f t="shared" si="26"/>
        <v>45383</v>
      </c>
      <c r="P282" s="13">
        <f t="shared" si="27"/>
        <v>0.50035373187124166</v>
      </c>
      <c r="Q282" s="5">
        <f t="shared" si="28"/>
        <v>202404</v>
      </c>
      <c r="R282" s="21">
        <f t="shared" si="29"/>
        <v>45383</v>
      </c>
    </row>
    <row r="283" spans="1:18" x14ac:dyDescent="0.25">
      <c r="A283" s="5" t="s">
        <v>610</v>
      </c>
      <c r="B283" s="14">
        <v>45791</v>
      </c>
      <c r="C283" s="5" t="s">
        <v>611</v>
      </c>
      <c r="D283" s="10" t="s">
        <v>37</v>
      </c>
      <c r="E283" s="10" t="s">
        <v>184</v>
      </c>
      <c r="F283" s="10" t="s">
        <v>49</v>
      </c>
      <c r="G283" s="15">
        <v>3</v>
      </c>
      <c r="H283" s="11">
        <v>3194.7087999999999</v>
      </c>
      <c r="I283" s="12">
        <v>10</v>
      </c>
      <c r="J283" s="11">
        <v>8625.5244999999995</v>
      </c>
      <c r="K283" s="11">
        <v>3560.9268999999999</v>
      </c>
      <c r="L283" s="10" t="s">
        <v>17</v>
      </c>
      <c r="M283" s="5">
        <f t="shared" si="24"/>
        <v>2025</v>
      </c>
      <c r="N283" s="5">
        <f t="shared" si="25"/>
        <v>5</v>
      </c>
      <c r="O283" s="21">
        <f t="shared" si="26"/>
        <v>45778</v>
      </c>
      <c r="P283" s="13">
        <f t="shared" si="27"/>
        <v>0.41283598464070215</v>
      </c>
      <c r="Q283" s="5">
        <f t="shared" si="28"/>
        <v>202505</v>
      </c>
      <c r="R283" s="21">
        <f t="shared" si="29"/>
        <v>45778</v>
      </c>
    </row>
    <row r="284" spans="1:18" x14ac:dyDescent="0.25">
      <c r="A284" s="5" t="s">
        <v>612</v>
      </c>
      <c r="B284" s="14">
        <v>45882</v>
      </c>
      <c r="C284" s="5" t="s">
        <v>459</v>
      </c>
      <c r="D284" s="10" t="s">
        <v>42</v>
      </c>
      <c r="E284" s="10" t="s">
        <v>69</v>
      </c>
      <c r="F284" s="10" t="s">
        <v>39</v>
      </c>
      <c r="G284" s="15">
        <v>3</v>
      </c>
      <c r="H284" s="11">
        <v>3566.6046999999994</v>
      </c>
      <c r="I284" s="12">
        <v>10</v>
      </c>
      <c r="J284" s="11">
        <v>9629.5488000000005</v>
      </c>
      <c r="K284" s="11">
        <v>2091.3229999999999</v>
      </c>
      <c r="L284" s="10" t="s">
        <v>17</v>
      </c>
      <c r="M284" s="5">
        <f t="shared" si="24"/>
        <v>2025</v>
      </c>
      <c r="N284" s="5">
        <f t="shared" si="25"/>
        <v>8</v>
      </c>
      <c r="O284" s="21">
        <f t="shared" si="26"/>
        <v>45870</v>
      </c>
      <c r="P284" s="13">
        <f t="shared" si="27"/>
        <v>0.21717767295597482</v>
      </c>
      <c r="Q284" s="5">
        <f t="shared" si="28"/>
        <v>202508</v>
      </c>
      <c r="R284" s="21">
        <f t="shared" si="29"/>
        <v>45870</v>
      </c>
    </row>
    <row r="285" spans="1:18" x14ac:dyDescent="0.25">
      <c r="A285" s="5" t="s">
        <v>613</v>
      </c>
      <c r="B285" s="14">
        <v>45994</v>
      </c>
      <c r="C285" s="5" t="s">
        <v>145</v>
      </c>
      <c r="D285" s="10" t="s">
        <v>26</v>
      </c>
      <c r="E285" s="10" t="s">
        <v>208</v>
      </c>
      <c r="F285" s="10" t="s">
        <v>22</v>
      </c>
      <c r="G285" s="15">
        <v>2</v>
      </c>
      <c r="H285" s="11">
        <v>2691.2772</v>
      </c>
      <c r="I285" s="12">
        <v>10</v>
      </c>
      <c r="J285" s="11">
        <v>4844.1097</v>
      </c>
      <c r="K285" s="11">
        <v>2834.1684999999998</v>
      </c>
      <c r="L285" s="10" t="s">
        <v>17</v>
      </c>
      <c r="M285" s="5">
        <f t="shared" si="24"/>
        <v>2025</v>
      </c>
      <c r="N285" s="5">
        <f t="shared" si="25"/>
        <v>12</v>
      </c>
      <c r="O285" s="21">
        <f t="shared" si="26"/>
        <v>45992</v>
      </c>
      <c r="P285" s="13">
        <f t="shared" si="27"/>
        <v>0.58507521000195351</v>
      </c>
      <c r="Q285" s="5">
        <f t="shared" si="28"/>
        <v>202512</v>
      </c>
      <c r="R285" s="21">
        <f t="shared" si="29"/>
        <v>45992</v>
      </c>
    </row>
    <row r="286" spans="1:18" x14ac:dyDescent="0.25">
      <c r="A286" s="5" t="s">
        <v>614</v>
      </c>
      <c r="B286" s="14">
        <v>45916</v>
      </c>
      <c r="C286" s="5" t="s">
        <v>174</v>
      </c>
      <c r="D286" s="10" t="s">
        <v>37</v>
      </c>
      <c r="E286" s="10" t="s">
        <v>502</v>
      </c>
      <c r="F286" s="10" t="s">
        <v>22</v>
      </c>
      <c r="G286" s="15">
        <v>4</v>
      </c>
      <c r="H286" s="11">
        <v>4011.3656999999998</v>
      </c>
      <c r="I286" s="12">
        <v>0</v>
      </c>
      <c r="J286" s="11">
        <v>16045.462799999999</v>
      </c>
      <c r="K286" s="11">
        <v>8248.8971000000001</v>
      </c>
      <c r="L286" s="10" t="s">
        <v>17</v>
      </c>
      <c r="M286" s="5">
        <f t="shared" si="24"/>
        <v>2025</v>
      </c>
      <c r="N286" s="5">
        <f t="shared" si="25"/>
        <v>9</v>
      </c>
      <c r="O286" s="21">
        <f t="shared" si="26"/>
        <v>45901</v>
      </c>
      <c r="P286" s="13">
        <f t="shared" si="27"/>
        <v>0.51409530549657945</v>
      </c>
      <c r="Q286" s="5">
        <f t="shared" si="28"/>
        <v>202509</v>
      </c>
      <c r="R286" s="21">
        <f t="shared" si="29"/>
        <v>45901</v>
      </c>
    </row>
    <row r="287" spans="1:18" x14ac:dyDescent="0.25">
      <c r="A287" s="5" t="s">
        <v>615</v>
      </c>
      <c r="B287" s="14">
        <v>45343</v>
      </c>
      <c r="C287" s="5" t="s">
        <v>616</v>
      </c>
      <c r="D287" s="10" t="s">
        <v>42</v>
      </c>
      <c r="E287" s="10" t="s">
        <v>83</v>
      </c>
      <c r="F287" s="10" t="s">
        <v>22</v>
      </c>
      <c r="G287" s="15">
        <v>2</v>
      </c>
      <c r="H287" s="11">
        <v>4039.7546999999995</v>
      </c>
      <c r="I287" s="12">
        <v>0</v>
      </c>
      <c r="J287" s="11">
        <v>8079.509399999999</v>
      </c>
      <c r="K287" s="11">
        <v>4707.8424999999997</v>
      </c>
      <c r="L287" s="10" t="s">
        <v>23</v>
      </c>
      <c r="M287" s="5">
        <f t="shared" si="24"/>
        <v>2024</v>
      </c>
      <c r="N287" s="5">
        <f t="shared" si="25"/>
        <v>2</v>
      </c>
      <c r="O287" s="21">
        <f t="shared" si="26"/>
        <v>45323</v>
      </c>
      <c r="P287" s="13">
        <f t="shared" si="27"/>
        <v>0.58268915436870461</v>
      </c>
      <c r="Q287" s="5">
        <f t="shared" si="28"/>
        <v>202402</v>
      </c>
      <c r="R287" s="21">
        <f t="shared" si="29"/>
        <v>45323</v>
      </c>
    </row>
    <row r="288" spans="1:18" x14ac:dyDescent="0.25">
      <c r="A288" s="5" t="s">
        <v>617</v>
      </c>
      <c r="B288" s="14">
        <v>45707</v>
      </c>
      <c r="C288" s="5" t="s">
        <v>618</v>
      </c>
      <c r="D288" s="10" t="s">
        <v>26</v>
      </c>
      <c r="E288" s="10" t="s">
        <v>105</v>
      </c>
      <c r="F288" s="10" t="s">
        <v>39</v>
      </c>
      <c r="G288" s="15">
        <v>2</v>
      </c>
      <c r="H288" s="11">
        <v>1660.7565</v>
      </c>
      <c r="I288" s="12">
        <v>20</v>
      </c>
      <c r="J288" s="11">
        <v>2657.2103999999999</v>
      </c>
      <c r="K288" s="11">
        <v>1006.8632</v>
      </c>
      <c r="L288" s="10" t="s">
        <v>17</v>
      </c>
      <c r="M288" s="5">
        <f t="shared" si="24"/>
        <v>2025</v>
      </c>
      <c r="N288" s="5">
        <f t="shared" si="25"/>
        <v>2</v>
      </c>
      <c r="O288" s="21">
        <f t="shared" si="26"/>
        <v>45689</v>
      </c>
      <c r="P288" s="13">
        <f t="shared" si="27"/>
        <v>0.37891737891737892</v>
      </c>
      <c r="Q288" s="5">
        <f t="shared" si="28"/>
        <v>202502</v>
      </c>
      <c r="R288" s="21">
        <f t="shared" si="29"/>
        <v>45689</v>
      </c>
    </row>
    <row r="289" spans="1:18" x14ac:dyDescent="0.25">
      <c r="A289" s="5" t="s">
        <v>619</v>
      </c>
      <c r="B289" s="14">
        <v>45586</v>
      </c>
      <c r="C289" s="5" t="s">
        <v>298</v>
      </c>
      <c r="D289" s="10" t="s">
        <v>26</v>
      </c>
      <c r="E289" s="10" t="s">
        <v>83</v>
      </c>
      <c r="F289" s="10" t="s">
        <v>22</v>
      </c>
      <c r="G289" s="15">
        <v>1</v>
      </c>
      <c r="H289" s="11">
        <v>4695.5405999999994</v>
      </c>
      <c r="I289" s="12">
        <v>5</v>
      </c>
      <c r="J289" s="11">
        <v>4460.8581999999997</v>
      </c>
      <c r="K289" s="11">
        <v>2351.5554999999999</v>
      </c>
      <c r="L289" s="10" t="s">
        <v>17</v>
      </c>
      <c r="M289" s="5">
        <f t="shared" si="24"/>
        <v>2024</v>
      </c>
      <c r="N289" s="5">
        <f t="shared" si="25"/>
        <v>10</v>
      </c>
      <c r="O289" s="21">
        <f t="shared" si="26"/>
        <v>45566</v>
      </c>
      <c r="P289" s="13">
        <f t="shared" si="27"/>
        <v>0.52715316079762409</v>
      </c>
      <c r="Q289" s="5">
        <f t="shared" si="28"/>
        <v>202410</v>
      </c>
      <c r="R289" s="21">
        <f t="shared" si="29"/>
        <v>45566</v>
      </c>
    </row>
    <row r="290" spans="1:18" x14ac:dyDescent="0.25">
      <c r="A290" s="5" t="s">
        <v>620</v>
      </c>
      <c r="B290" s="14">
        <v>45460</v>
      </c>
      <c r="C290" s="5" t="s">
        <v>621</v>
      </c>
      <c r="D290" s="10" t="s">
        <v>42</v>
      </c>
      <c r="E290" s="10" t="s">
        <v>108</v>
      </c>
      <c r="F290" s="10" t="s">
        <v>75</v>
      </c>
      <c r="G290" s="15">
        <v>3</v>
      </c>
      <c r="H290" s="11">
        <v>5619.1293999999998</v>
      </c>
      <c r="I290" s="12">
        <v>20</v>
      </c>
      <c r="J290" s="11">
        <v>13485.721299999999</v>
      </c>
      <c r="K290" s="11">
        <v>4143.8476999999993</v>
      </c>
      <c r="L290" s="10" t="s">
        <v>34</v>
      </c>
      <c r="M290" s="5">
        <f t="shared" si="24"/>
        <v>2024</v>
      </c>
      <c r="N290" s="5">
        <f t="shared" si="25"/>
        <v>6</v>
      </c>
      <c r="O290" s="21">
        <f t="shared" si="26"/>
        <v>45444</v>
      </c>
      <c r="P290" s="13">
        <f t="shared" si="27"/>
        <v>0.30727668233808153</v>
      </c>
      <c r="Q290" s="5">
        <f t="shared" si="28"/>
        <v>202406</v>
      </c>
      <c r="R290" s="21">
        <f t="shared" si="29"/>
        <v>45444</v>
      </c>
    </row>
    <row r="291" spans="1:18" x14ac:dyDescent="0.25">
      <c r="A291" s="5" t="s">
        <v>622</v>
      </c>
      <c r="B291" s="14">
        <v>45626</v>
      </c>
      <c r="C291" s="5" t="s">
        <v>623</v>
      </c>
      <c r="D291" s="10" t="s">
        <v>37</v>
      </c>
      <c r="E291" s="10" t="s">
        <v>141</v>
      </c>
      <c r="F291" s="10" t="s">
        <v>16</v>
      </c>
      <c r="G291" s="15">
        <v>1</v>
      </c>
      <c r="H291" s="11">
        <v>4916.0285000000003</v>
      </c>
      <c r="I291" s="12">
        <v>5</v>
      </c>
      <c r="J291" s="11">
        <v>4669.9904999999999</v>
      </c>
      <c r="K291" s="11">
        <v>894.25349999999992</v>
      </c>
      <c r="L291" s="10" t="s">
        <v>34</v>
      </c>
      <c r="M291" s="5">
        <f t="shared" si="24"/>
        <v>2024</v>
      </c>
      <c r="N291" s="5">
        <f t="shared" si="25"/>
        <v>11</v>
      </c>
      <c r="O291" s="21">
        <f t="shared" si="26"/>
        <v>45597</v>
      </c>
      <c r="P291" s="13">
        <f t="shared" si="27"/>
        <v>0.19148936170212766</v>
      </c>
      <c r="Q291" s="5">
        <f t="shared" si="28"/>
        <v>202411</v>
      </c>
      <c r="R291" s="21">
        <f t="shared" si="29"/>
        <v>45597</v>
      </c>
    </row>
    <row r="292" spans="1:18" x14ac:dyDescent="0.25">
      <c r="A292" s="5" t="s">
        <v>624</v>
      </c>
      <c r="B292" s="14">
        <v>45327</v>
      </c>
      <c r="C292" s="5" t="s">
        <v>334</v>
      </c>
      <c r="D292" s="10" t="s">
        <v>26</v>
      </c>
      <c r="E292" s="10" t="s">
        <v>141</v>
      </c>
      <c r="F292" s="10" t="s">
        <v>16</v>
      </c>
      <c r="G292" s="15">
        <v>1</v>
      </c>
      <c r="H292" s="11">
        <v>3066.0119999999997</v>
      </c>
      <c r="I292" s="12">
        <v>0</v>
      </c>
      <c r="J292" s="11">
        <v>3066.0119999999997</v>
      </c>
      <c r="K292" s="11">
        <v>456.11660000000001</v>
      </c>
      <c r="L292" s="10" t="s">
        <v>23</v>
      </c>
      <c r="M292" s="5">
        <f t="shared" si="24"/>
        <v>2024</v>
      </c>
      <c r="N292" s="5">
        <f t="shared" si="25"/>
        <v>2</v>
      </c>
      <c r="O292" s="21">
        <f t="shared" si="26"/>
        <v>45323</v>
      </c>
      <c r="P292" s="13">
        <f t="shared" si="27"/>
        <v>0.14876543209876544</v>
      </c>
      <c r="Q292" s="5">
        <f t="shared" si="28"/>
        <v>202402</v>
      </c>
      <c r="R292" s="21">
        <f t="shared" si="29"/>
        <v>45323</v>
      </c>
    </row>
    <row r="293" spans="1:18" x14ac:dyDescent="0.25">
      <c r="A293" s="5" t="s">
        <v>625</v>
      </c>
      <c r="B293" s="14">
        <v>45598</v>
      </c>
      <c r="C293" s="5" t="s">
        <v>626</v>
      </c>
      <c r="D293" s="10" t="s">
        <v>14</v>
      </c>
      <c r="E293" s="10" t="s">
        <v>232</v>
      </c>
      <c r="F293" s="10" t="s">
        <v>22</v>
      </c>
      <c r="G293" s="15">
        <v>1</v>
      </c>
      <c r="H293" s="11">
        <v>4652.9570999999996</v>
      </c>
      <c r="I293" s="12">
        <v>5</v>
      </c>
      <c r="J293" s="11">
        <v>4420.1673000000001</v>
      </c>
      <c r="K293" s="11">
        <v>2145.2620999999999</v>
      </c>
      <c r="L293" s="10" t="s">
        <v>17</v>
      </c>
      <c r="M293" s="5">
        <f t="shared" si="24"/>
        <v>2024</v>
      </c>
      <c r="N293" s="5">
        <f t="shared" si="25"/>
        <v>11</v>
      </c>
      <c r="O293" s="21">
        <f t="shared" si="26"/>
        <v>45597</v>
      </c>
      <c r="P293" s="13">
        <f t="shared" si="27"/>
        <v>0.4853350460286876</v>
      </c>
      <c r="Q293" s="5">
        <f t="shared" si="28"/>
        <v>202411</v>
      </c>
      <c r="R293" s="21">
        <f t="shared" si="29"/>
        <v>45597</v>
      </c>
    </row>
    <row r="294" spans="1:18" x14ac:dyDescent="0.25">
      <c r="A294" s="5" t="s">
        <v>627</v>
      </c>
      <c r="B294" s="14">
        <v>45635</v>
      </c>
      <c r="C294" s="5" t="s">
        <v>571</v>
      </c>
      <c r="D294" s="10" t="s">
        <v>20</v>
      </c>
      <c r="E294" s="10" t="s">
        <v>94</v>
      </c>
      <c r="F294" s="10" t="s">
        <v>75</v>
      </c>
      <c r="G294" s="15">
        <v>2</v>
      </c>
      <c r="H294" s="11">
        <v>1308.7329</v>
      </c>
      <c r="I294" s="12">
        <v>5</v>
      </c>
      <c r="J294" s="11">
        <v>2486.8764000000001</v>
      </c>
      <c r="K294" s="11">
        <v>501.53899999999999</v>
      </c>
      <c r="L294" s="10" t="s">
        <v>17</v>
      </c>
      <c r="M294" s="5">
        <f t="shared" si="24"/>
        <v>2024</v>
      </c>
      <c r="N294" s="5">
        <f t="shared" si="25"/>
        <v>12</v>
      </c>
      <c r="O294" s="21">
        <f t="shared" si="26"/>
        <v>45627</v>
      </c>
      <c r="P294" s="13">
        <f t="shared" si="27"/>
        <v>0.20167427701674276</v>
      </c>
      <c r="Q294" s="5">
        <f t="shared" si="28"/>
        <v>202412</v>
      </c>
      <c r="R294" s="21">
        <f t="shared" si="29"/>
        <v>45627</v>
      </c>
    </row>
    <row r="295" spans="1:18" x14ac:dyDescent="0.25">
      <c r="A295" s="5" t="s">
        <v>628</v>
      </c>
      <c r="B295" s="14">
        <v>45709</v>
      </c>
      <c r="C295" s="5" t="s">
        <v>629</v>
      </c>
      <c r="D295" s="10" t="s">
        <v>37</v>
      </c>
      <c r="E295" s="10" t="s">
        <v>48</v>
      </c>
      <c r="F295" s="10" t="s">
        <v>49</v>
      </c>
      <c r="G295" s="15">
        <v>5</v>
      </c>
      <c r="H295" s="11">
        <v>3048.0322999999999</v>
      </c>
      <c r="I295" s="12">
        <v>20</v>
      </c>
      <c r="J295" s="11">
        <v>12192.129199999999</v>
      </c>
      <c r="K295" s="11">
        <v>4134.3846999999996</v>
      </c>
      <c r="L295" s="10" t="s">
        <v>17</v>
      </c>
      <c r="M295" s="5">
        <f t="shared" si="24"/>
        <v>2025</v>
      </c>
      <c r="N295" s="5">
        <f t="shared" si="25"/>
        <v>2</v>
      </c>
      <c r="O295" s="21">
        <f t="shared" si="26"/>
        <v>45689</v>
      </c>
      <c r="P295" s="13">
        <f t="shared" si="27"/>
        <v>0.3391027631170444</v>
      </c>
      <c r="Q295" s="5">
        <f t="shared" si="28"/>
        <v>202502</v>
      </c>
      <c r="R295" s="21">
        <f t="shared" si="29"/>
        <v>45689</v>
      </c>
    </row>
    <row r="296" spans="1:18" x14ac:dyDescent="0.25">
      <c r="A296" s="5" t="s">
        <v>630</v>
      </c>
      <c r="B296" s="14">
        <v>45928</v>
      </c>
      <c r="C296" s="5" t="s">
        <v>631</v>
      </c>
      <c r="D296" s="10" t="s">
        <v>37</v>
      </c>
      <c r="E296" s="10" t="s">
        <v>21</v>
      </c>
      <c r="F296" s="10" t="s">
        <v>22</v>
      </c>
      <c r="G296" s="15">
        <v>3</v>
      </c>
      <c r="H296" s="11">
        <v>2150.9398999999999</v>
      </c>
      <c r="I296" s="12">
        <v>10</v>
      </c>
      <c r="J296" s="11">
        <v>5807.4430999999995</v>
      </c>
      <c r="K296" s="11">
        <v>3685.8385000000003</v>
      </c>
      <c r="L296" s="10" t="s">
        <v>17</v>
      </c>
      <c r="M296" s="5">
        <f t="shared" si="24"/>
        <v>2025</v>
      </c>
      <c r="N296" s="5">
        <f t="shared" si="25"/>
        <v>9</v>
      </c>
      <c r="O296" s="21">
        <f t="shared" si="26"/>
        <v>45901</v>
      </c>
      <c r="P296" s="13">
        <f t="shared" si="27"/>
        <v>0.63467492260061931</v>
      </c>
      <c r="Q296" s="5">
        <f t="shared" si="28"/>
        <v>202509</v>
      </c>
      <c r="R296" s="21">
        <f t="shared" si="29"/>
        <v>45901</v>
      </c>
    </row>
    <row r="297" spans="1:18" x14ac:dyDescent="0.25">
      <c r="A297" s="5" t="s">
        <v>632</v>
      </c>
      <c r="B297" s="14">
        <v>45830</v>
      </c>
      <c r="C297" s="5" t="s">
        <v>633</v>
      </c>
      <c r="D297" s="10" t="s">
        <v>37</v>
      </c>
      <c r="E297" s="10" t="s">
        <v>83</v>
      </c>
      <c r="F297" s="10" t="s">
        <v>22</v>
      </c>
      <c r="G297" s="15">
        <v>2</v>
      </c>
      <c r="H297" s="11">
        <v>3435.0689999999995</v>
      </c>
      <c r="I297" s="12">
        <v>0</v>
      </c>
      <c r="J297" s="11">
        <v>6870.137999999999</v>
      </c>
      <c r="K297" s="11">
        <v>2789.6923999999999</v>
      </c>
      <c r="L297" s="10" t="s">
        <v>17</v>
      </c>
      <c r="M297" s="5">
        <f t="shared" si="24"/>
        <v>2025</v>
      </c>
      <c r="N297" s="5">
        <f t="shared" si="25"/>
        <v>6</v>
      </c>
      <c r="O297" s="21">
        <f t="shared" si="26"/>
        <v>45809</v>
      </c>
      <c r="P297" s="13">
        <f t="shared" si="27"/>
        <v>0.40606060606060612</v>
      </c>
      <c r="Q297" s="5">
        <f t="shared" si="28"/>
        <v>202506</v>
      </c>
      <c r="R297" s="21">
        <f t="shared" si="29"/>
        <v>45809</v>
      </c>
    </row>
    <row r="298" spans="1:18" x14ac:dyDescent="0.25">
      <c r="A298" s="5" t="s">
        <v>634</v>
      </c>
      <c r="B298" s="14">
        <v>45534</v>
      </c>
      <c r="C298" s="5" t="s">
        <v>635</v>
      </c>
      <c r="D298" s="10" t="s">
        <v>20</v>
      </c>
      <c r="E298" s="10" t="s">
        <v>88</v>
      </c>
      <c r="F298" s="10" t="s">
        <v>22</v>
      </c>
      <c r="G298" s="15">
        <v>2</v>
      </c>
      <c r="H298" s="11">
        <v>731.48990000000003</v>
      </c>
      <c r="I298" s="12">
        <v>15</v>
      </c>
      <c r="J298" s="11">
        <v>1243.4382000000001</v>
      </c>
      <c r="K298" s="11">
        <v>764.61039999999991</v>
      </c>
      <c r="L298" s="10" t="s">
        <v>23</v>
      </c>
      <c r="M298" s="5">
        <f t="shared" si="24"/>
        <v>2024</v>
      </c>
      <c r="N298" s="5">
        <f t="shared" si="25"/>
        <v>8</v>
      </c>
      <c r="O298" s="21">
        <f t="shared" si="26"/>
        <v>45505</v>
      </c>
      <c r="P298" s="13">
        <f t="shared" si="27"/>
        <v>0.61491628614916272</v>
      </c>
      <c r="Q298" s="5">
        <f t="shared" si="28"/>
        <v>202408</v>
      </c>
      <c r="R298" s="21">
        <f t="shared" si="29"/>
        <v>45505</v>
      </c>
    </row>
    <row r="299" spans="1:18" x14ac:dyDescent="0.25">
      <c r="A299" s="5" t="s">
        <v>636</v>
      </c>
      <c r="B299" s="14">
        <v>45747</v>
      </c>
      <c r="C299" s="5" t="s">
        <v>637</v>
      </c>
      <c r="D299" s="10" t="s">
        <v>42</v>
      </c>
      <c r="E299" s="10" t="s">
        <v>187</v>
      </c>
      <c r="F299" s="10" t="s">
        <v>75</v>
      </c>
      <c r="G299" s="15">
        <v>2</v>
      </c>
      <c r="H299" s="11">
        <v>2607.0565000000001</v>
      </c>
      <c r="I299" s="12">
        <v>10</v>
      </c>
      <c r="J299" s="11">
        <v>4692.7017000000005</v>
      </c>
      <c r="K299" s="11">
        <v>925.48139999999989</v>
      </c>
      <c r="L299" s="10" t="s">
        <v>23</v>
      </c>
      <c r="M299" s="5">
        <f t="shared" si="24"/>
        <v>2025</v>
      </c>
      <c r="N299" s="5">
        <f t="shared" si="25"/>
        <v>3</v>
      </c>
      <c r="O299" s="21">
        <f t="shared" si="26"/>
        <v>45717</v>
      </c>
      <c r="P299" s="13">
        <f t="shared" si="27"/>
        <v>0.19721718088324255</v>
      </c>
      <c r="Q299" s="5">
        <f t="shared" si="28"/>
        <v>202503</v>
      </c>
      <c r="R299" s="21">
        <f t="shared" si="29"/>
        <v>45717</v>
      </c>
    </row>
    <row r="300" spans="1:18" x14ac:dyDescent="0.25">
      <c r="A300" s="5" t="s">
        <v>638</v>
      </c>
      <c r="B300" s="14">
        <v>45838</v>
      </c>
      <c r="C300" s="5" t="s">
        <v>639</v>
      </c>
      <c r="D300" s="10" t="s">
        <v>42</v>
      </c>
      <c r="E300" s="10" t="s">
        <v>118</v>
      </c>
      <c r="F300" s="10" t="s">
        <v>49</v>
      </c>
      <c r="G300" s="15">
        <v>3</v>
      </c>
      <c r="H300" s="11">
        <v>8499.6665999999987</v>
      </c>
      <c r="I300" s="12">
        <v>10</v>
      </c>
      <c r="J300" s="11">
        <v>22948.721299999997</v>
      </c>
      <c r="K300" s="11">
        <v>9437.4498999999996</v>
      </c>
      <c r="L300" s="10" t="s">
        <v>17</v>
      </c>
      <c r="M300" s="5">
        <f t="shared" si="24"/>
        <v>2025</v>
      </c>
      <c r="N300" s="5">
        <f t="shared" si="25"/>
        <v>6</v>
      </c>
      <c r="O300" s="21">
        <f t="shared" si="26"/>
        <v>45809</v>
      </c>
      <c r="P300" s="13">
        <f t="shared" si="27"/>
        <v>0.41124077357634742</v>
      </c>
      <c r="Q300" s="5">
        <f t="shared" si="28"/>
        <v>202506</v>
      </c>
      <c r="R300" s="21">
        <f t="shared" si="29"/>
        <v>45809</v>
      </c>
    </row>
    <row r="301" spans="1:18" x14ac:dyDescent="0.25">
      <c r="A301" s="5" t="s">
        <v>640</v>
      </c>
      <c r="B301" s="14">
        <v>46013</v>
      </c>
      <c r="C301" s="5" t="s">
        <v>590</v>
      </c>
      <c r="D301" s="10" t="s">
        <v>14</v>
      </c>
      <c r="E301" s="10" t="s">
        <v>105</v>
      </c>
      <c r="F301" s="10" t="s">
        <v>39</v>
      </c>
      <c r="G301" s="15">
        <v>1</v>
      </c>
      <c r="H301" s="11">
        <v>2753.7330000000002</v>
      </c>
      <c r="I301" s="12">
        <v>0</v>
      </c>
      <c r="J301" s="11">
        <v>2753.7330000000002</v>
      </c>
      <c r="K301" s="11">
        <v>787.32159999999999</v>
      </c>
      <c r="L301" s="10" t="s">
        <v>17</v>
      </c>
      <c r="M301" s="5">
        <f t="shared" si="24"/>
        <v>2025</v>
      </c>
      <c r="N301" s="5">
        <f t="shared" si="25"/>
        <v>12</v>
      </c>
      <c r="O301" s="21">
        <f t="shared" si="26"/>
        <v>45992</v>
      </c>
      <c r="P301" s="13">
        <f t="shared" si="27"/>
        <v>0.28591065292096218</v>
      </c>
      <c r="Q301" s="5">
        <f t="shared" si="28"/>
        <v>202512</v>
      </c>
      <c r="R301" s="21">
        <f t="shared" si="29"/>
        <v>45992</v>
      </c>
    </row>
    <row r="302" spans="1:18" x14ac:dyDescent="0.25">
      <c r="A302" s="5" t="s">
        <v>641</v>
      </c>
      <c r="B302" s="14">
        <v>45730</v>
      </c>
      <c r="C302" s="5" t="s">
        <v>642</v>
      </c>
      <c r="D302" s="10" t="s">
        <v>42</v>
      </c>
      <c r="E302" s="10" t="s">
        <v>136</v>
      </c>
      <c r="F302" s="10" t="s">
        <v>75</v>
      </c>
      <c r="G302" s="15">
        <v>1</v>
      </c>
      <c r="H302" s="11">
        <v>2976.1134999999999</v>
      </c>
      <c r="I302" s="12">
        <v>0</v>
      </c>
      <c r="J302" s="11">
        <v>2976.1134999999999</v>
      </c>
      <c r="K302" s="11">
        <v>727.7047</v>
      </c>
      <c r="L302" s="10" t="s">
        <v>17</v>
      </c>
      <c r="M302" s="5">
        <f t="shared" si="24"/>
        <v>2025</v>
      </c>
      <c r="N302" s="5">
        <f t="shared" si="25"/>
        <v>3</v>
      </c>
      <c r="O302" s="21">
        <f t="shared" si="26"/>
        <v>45717</v>
      </c>
      <c r="P302" s="13">
        <f t="shared" si="27"/>
        <v>0.24451510333863274</v>
      </c>
      <c r="Q302" s="5">
        <f t="shared" si="28"/>
        <v>202503</v>
      </c>
      <c r="R302" s="21">
        <f t="shared" si="29"/>
        <v>45717</v>
      </c>
    </row>
    <row r="303" spans="1:18" x14ac:dyDescent="0.25">
      <c r="A303" s="5" t="s">
        <v>643</v>
      </c>
      <c r="B303" s="14">
        <v>45378</v>
      </c>
      <c r="C303" s="5" t="s">
        <v>469</v>
      </c>
      <c r="D303" s="10" t="s">
        <v>14</v>
      </c>
      <c r="E303" s="10" t="s">
        <v>55</v>
      </c>
      <c r="F303" s="10" t="s">
        <v>16</v>
      </c>
      <c r="G303" s="15">
        <v>1</v>
      </c>
      <c r="H303" s="11">
        <v>3085.8842999999997</v>
      </c>
      <c r="I303" s="12">
        <v>0</v>
      </c>
      <c r="J303" s="11">
        <v>3085.8842999999997</v>
      </c>
      <c r="K303" s="11">
        <v>271.5881</v>
      </c>
      <c r="L303" s="10" t="s">
        <v>17</v>
      </c>
      <c r="M303" s="5">
        <f t="shared" si="24"/>
        <v>2024</v>
      </c>
      <c r="N303" s="5">
        <f t="shared" si="25"/>
        <v>3</v>
      </c>
      <c r="O303" s="21">
        <f t="shared" si="26"/>
        <v>45352</v>
      </c>
      <c r="P303" s="13">
        <f t="shared" si="27"/>
        <v>8.800981294081571E-2</v>
      </c>
      <c r="Q303" s="5">
        <f t="shared" si="28"/>
        <v>202403</v>
      </c>
      <c r="R303" s="21">
        <f t="shared" si="29"/>
        <v>45352</v>
      </c>
    </row>
    <row r="304" spans="1:18" x14ac:dyDescent="0.25">
      <c r="A304" s="5" t="s">
        <v>644</v>
      </c>
      <c r="B304" s="14">
        <v>45395</v>
      </c>
      <c r="C304" s="5" t="s">
        <v>645</v>
      </c>
      <c r="D304" s="10" t="s">
        <v>26</v>
      </c>
      <c r="E304" s="10" t="s">
        <v>556</v>
      </c>
      <c r="F304" s="10" t="s">
        <v>49</v>
      </c>
      <c r="G304" s="15">
        <v>1</v>
      </c>
      <c r="H304" s="11">
        <v>7572.2925999999989</v>
      </c>
      <c r="I304" s="12">
        <v>0</v>
      </c>
      <c r="J304" s="11">
        <v>7572.2925999999989</v>
      </c>
      <c r="K304" s="11">
        <v>3560.9268999999999</v>
      </c>
      <c r="L304" s="10" t="s">
        <v>23</v>
      </c>
      <c r="M304" s="5">
        <f t="shared" si="24"/>
        <v>2024</v>
      </c>
      <c r="N304" s="5">
        <f t="shared" si="25"/>
        <v>4</v>
      </c>
      <c r="O304" s="21">
        <f t="shared" si="26"/>
        <v>45383</v>
      </c>
      <c r="P304" s="13">
        <f t="shared" si="27"/>
        <v>0.47025743564108979</v>
      </c>
      <c r="Q304" s="5">
        <f t="shared" si="28"/>
        <v>202404</v>
      </c>
      <c r="R304" s="21">
        <f t="shared" si="29"/>
        <v>45383</v>
      </c>
    </row>
    <row r="305" spans="1:18" x14ac:dyDescent="0.25">
      <c r="A305" s="5" t="s">
        <v>646</v>
      </c>
      <c r="B305" s="14">
        <v>45600</v>
      </c>
      <c r="C305" s="5" t="s">
        <v>647</v>
      </c>
      <c r="D305" s="10" t="s">
        <v>26</v>
      </c>
      <c r="E305" s="10" t="s">
        <v>187</v>
      </c>
      <c r="F305" s="10" t="s">
        <v>75</v>
      </c>
      <c r="G305" s="15">
        <v>3</v>
      </c>
      <c r="H305" s="11">
        <v>2190.6844999999998</v>
      </c>
      <c r="I305" s="12">
        <v>20</v>
      </c>
      <c r="J305" s="11">
        <v>5257.6427999999996</v>
      </c>
      <c r="K305" s="11">
        <v>1005.9169000000001</v>
      </c>
      <c r="L305" s="10" t="s">
        <v>17</v>
      </c>
      <c r="M305" s="5">
        <f t="shared" si="24"/>
        <v>2024</v>
      </c>
      <c r="N305" s="5">
        <f t="shared" si="25"/>
        <v>11</v>
      </c>
      <c r="O305" s="21">
        <f t="shared" si="26"/>
        <v>45597</v>
      </c>
      <c r="P305" s="13">
        <f t="shared" si="27"/>
        <v>0.19132469402447808</v>
      </c>
      <c r="Q305" s="5">
        <f t="shared" si="28"/>
        <v>202411</v>
      </c>
      <c r="R305" s="21">
        <f t="shared" si="29"/>
        <v>45597</v>
      </c>
    </row>
    <row r="306" spans="1:18" x14ac:dyDescent="0.25">
      <c r="A306" s="5" t="s">
        <v>648</v>
      </c>
      <c r="B306" s="14">
        <v>45967</v>
      </c>
      <c r="C306" s="5" t="s">
        <v>649</v>
      </c>
      <c r="D306" s="10" t="s">
        <v>14</v>
      </c>
      <c r="E306" s="10" t="s">
        <v>111</v>
      </c>
      <c r="F306" s="10" t="s">
        <v>49</v>
      </c>
      <c r="G306" s="15">
        <v>1</v>
      </c>
      <c r="H306" s="11">
        <v>2483.0911999999998</v>
      </c>
      <c r="I306" s="12">
        <v>10</v>
      </c>
      <c r="J306" s="11">
        <v>2235.1606000000002</v>
      </c>
      <c r="K306" s="11">
        <v>1045.6614999999999</v>
      </c>
      <c r="L306" s="10" t="s">
        <v>23</v>
      </c>
      <c r="M306" s="5">
        <f t="shared" si="24"/>
        <v>2025</v>
      </c>
      <c r="N306" s="5">
        <f t="shared" si="25"/>
        <v>11</v>
      </c>
      <c r="O306" s="21">
        <f t="shared" si="26"/>
        <v>45962</v>
      </c>
      <c r="P306" s="13">
        <f t="shared" si="27"/>
        <v>0.4678238780694326</v>
      </c>
      <c r="Q306" s="5">
        <f t="shared" si="28"/>
        <v>202511</v>
      </c>
      <c r="R306" s="21">
        <f t="shared" si="29"/>
        <v>45962</v>
      </c>
    </row>
    <row r="307" spans="1:18" x14ac:dyDescent="0.25">
      <c r="A307" s="5" t="s">
        <v>650</v>
      </c>
      <c r="B307" s="14">
        <v>45712</v>
      </c>
      <c r="C307" s="5" t="s">
        <v>651</v>
      </c>
      <c r="D307" s="10" t="s">
        <v>14</v>
      </c>
      <c r="E307" s="10" t="s">
        <v>80</v>
      </c>
      <c r="F307" s="10" t="s">
        <v>16</v>
      </c>
      <c r="G307" s="15">
        <v>2</v>
      </c>
      <c r="H307" s="11">
        <v>3605.4029999999998</v>
      </c>
      <c r="I307" s="12">
        <v>10</v>
      </c>
      <c r="J307" s="11">
        <v>6489.7253999999994</v>
      </c>
      <c r="K307" s="11">
        <v>1338.0681999999999</v>
      </c>
      <c r="L307" s="10" t="s">
        <v>34</v>
      </c>
      <c r="M307" s="5">
        <f t="shared" si="24"/>
        <v>2025</v>
      </c>
      <c r="N307" s="5">
        <f t="shared" si="25"/>
        <v>2</v>
      </c>
      <c r="O307" s="21">
        <f t="shared" si="26"/>
        <v>45689</v>
      </c>
      <c r="P307" s="13">
        <f t="shared" si="27"/>
        <v>0.20618256051326919</v>
      </c>
      <c r="Q307" s="5">
        <f t="shared" si="28"/>
        <v>202502</v>
      </c>
      <c r="R307" s="21">
        <f t="shared" si="29"/>
        <v>45689</v>
      </c>
    </row>
    <row r="308" spans="1:18" x14ac:dyDescent="0.25">
      <c r="A308" s="5" t="s">
        <v>652</v>
      </c>
      <c r="B308" s="14">
        <v>45444</v>
      </c>
      <c r="C308" s="5" t="s">
        <v>653</v>
      </c>
      <c r="D308" s="10" t="s">
        <v>37</v>
      </c>
      <c r="E308" s="10" t="s">
        <v>154</v>
      </c>
      <c r="F308" s="10" t="s">
        <v>39</v>
      </c>
      <c r="G308" s="15">
        <v>1</v>
      </c>
      <c r="H308" s="11">
        <v>6240.8485000000001</v>
      </c>
      <c r="I308" s="12">
        <v>10</v>
      </c>
      <c r="J308" s="11">
        <v>5617.2367999999997</v>
      </c>
      <c r="K308" s="11">
        <v>1903.0092999999999</v>
      </c>
      <c r="L308" s="10" t="s">
        <v>17</v>
      </c>
      <c r="M308" s="5">
        <f t="shared" si="24"/>
        <v>2024</v>
      </c>
      <c r="N308" s="5">
        <f t="shared" si="25"/>
        <v>6</v>
      </c>
      <c r="O308" s="21">
        <f t="shared" si="26"/>
        <v>45444</v>
      </c>
      <c r="P308" s="13">
        <f t="shared" si="27"/>
        <v>0.33878032345013476</v>
      </c>
      <c r="Q308" s="5">
        <f t="shared" si="28"/>
        <v>202406</v>
      </c>
      <c r="R308" s="21">
        <f t="shared" si="29"/>
        <v>45444</v>
      </c>
    </row>
    <row r="309" spans="1:18" x14ac:dyDescent="0.25">
      <c r="A309" s="5" t="s">
        <v>654</v>
      </c>
      <c r="B309" s="14">
        <v>45903</v>
      </c>
      <c r="C309" s="5" t="s">
        <v>655</v>
      </c>
      <c r="D309" s="10" t="s">
        <v>20</v>
      </c>
      <c r="E309" s="10" t="s">
        <v>133</v>
      </c>
      <c r="F309" s="10" t="s">
        <v>75</v>
      </c>
      <c r="G309" s="15">
        <v>1</v>
      </c>
      <c r="H309" s="11">
        <v>3510.7730000000001</v>
      </c>
      <c r="I309" s="12">
        <v>15</v>
      </c>
      <c r="J309" s="11">
        <v>2984.6301999999996</v>
      </c>
      <c r="K309" s="11">
        <v>989.82979999999998</v>
      </c>
      <c r="L309" s="10" t="s">
        <v>34</v>
      </c>
      <c r="M309" s="5">
        <f t="shared" si="24"/>
        <v>2025</v>
      </c>
      <c r="N309" s="5">
        <f t="shared" si="25"/>
        <v>9</v>
      </c>
      <c r="O309" s="21">
        <f t="shared" si="26"/>
        <v>45901</v>
      </c>
      <c r="P309" s="13">
        <f t="shared" si="27"/>
        <v>0.33164235890932153</v>
      </c>
      <c r="Q309" s="5">
        <f t="shared" si="28"/>
        <v>202509</v>
      </c>
      <c r="R309" s="21">
        <f t="shared" si="29"/>
        <v>45901</v>
      </c>
    </row>
    <row r="310" spans="1:18" x14ac:dyDescent="0.25">
      <c r="A310" s="5" t="s">
        <v>656</v>
      </c>
      <c r="B310" s="14">
        <v>45818</v>
      </c>
      <c r="C310" s="5" t="s">
        <v>275</v>
      </c>
      <c r="D310" s="10" t="s">
        <v>42</v>
      </c>
      <c r="E310" s="10" t="s">
        <v>211</v>
      </c>
      <c r="F310" s="10" t="s">
        <v>39</v>
      </c>
      <c r="G310" s="15">
        <v>1</v>
      </c>
      <c r="H310" s="11">
        <v>6170.8222999999989</v>
      </c>
      <c r="I310" s="12">
        <v>20</v>
      </c>
      <c r="J310" s="11">
        <v>4936.8471</v>
      </c>
      <c r="K310" s="11">
        <v>1249.116</v>
      </c>
      <c r="L310" s="10" t="s">
        <v>17</v>
      </c>
      <c r="M310" s="5">
        <f t="shared" si="24"/>
        <v>2025</v>
      </c>
      <c r="N310" s="5">
        <f t="shared" si="25"/>
        <v>6</v>
      </c>
      <c r="O310" s="21">
        <f t="shared" si="26"/>
        <v>45809</v>
      </c>
      <c r="P310" s="13">
        <f t="shared" si="27"/>
        <v>0.25301897642323173</v>
      </c>
      <c r="Q310" s="5">
        <f t="shared" si="28"/>
        <v>202506</v>
      </c>
      <c r="R310" s="21">
        <f t="shared" si="29"/>
        <v>45809</v>
      </c>
    </row>
    <row r="311" spans="1:18" x14ac:dyDescent="0.25">
      <c r="A311" s="5" t="s">
        <v>657</v>
      </c>
      <c r="B311" s="14">
        <v>45982</v>
      </c>
      <c r="C311" s="5" t="s">
        <v>658</v>
      </c>
      <c r="D311" s="10" t="s">
        <v>20</v>
      </c>
      <c r="E311" s="10" t="s">
        <v>177</v>
      </c>
      <c r="F311" s="10" t="s">
        <v>49</v>
      </c>
      <c r="G311" s="15">
        <v>1</v>
      </c>
      <c r="H311" s="11">
        <v>6122.5609999999997</v>
      </c>
      <c r="I311" s="12">
        <v>5</v>
      </c>
      <c r="J311" s="11">
        <v>5816.9060999999992</v>
      </c>
      <c r="K311" s="11">
        <v>3127.5214999999994</v>
      </c>
      <c r="L311" s="10" t="s">
        <v>23</v>
      </c>
      <c r="M311" s="5">
        <f t="shared" si="24"/>
        <v>2025</v>
      </c>
      <c r="N311" s="5">
        <f t="shared" si="25"/>
        <v>11</v>
      </c>
      <c r="O311" s="21">
        <f t="shared" si="26"/>
        <v>45962</v>
      </c>
      <c r="P311" s="13">
        <f t="shared" si="27"/>
        <v>0.53766064747031073</v>
      </c>
      <c r="Q311" s="5">
        <f t="shared" si="28"/>
        <v>202511</v>
      </c>
      <c r="R311" s="21">
        <f t="shared" si="29"/>
        <v>45962</v>
      </c>
    </row>
    <row r="312" spans="1:18" x14ac:dyDescent="0.25">
      <c r="A312" s="5" t="s">
        <v>659</v>
      </c>
      <c r="B312" s="14">
        <v>45298</v>
      </c>
      <c r="C312" s="5" t="s">
        <v>660</v>
      </c>
      <c r="D312" s="10" t="s">
        <v>37</v>
      </c>
      <c r="E312" s="10" t="s">
        <v>177</v>
      </c>
      <c r="F312" s="10" t="s">
        <v>49</v>
      </c>
      <c r="G312" s="15">
        <v>1</v>
      </c>
      <c r="H312" s="11">
        <v>6361.9749000000002</v>
      </c>
      <c r="I312" s="12">
        <v>0</v>
      </c>
      <c r="J312" s="11">
        <v>6361.9749000000002</v>
      </c>
      <c r="K312" s="11">
        <v>2219.0735</v>
      </c>
      <c r="L312" s="10" t="s">
        <v>34</v>
      </c>
      <c r="M312" s="5">
        <f t="shared" si="24"/>
        <v>2024</v>
      </c>
      <c r="N312" s="5">
        <f t="shared" si="25"/>
        <v>1</v>
      </c>
      <c r="O312" s="21">
        <f t="shared" si="26"/>
        <v>45292</v>
      </c>
      <c r="P312" s="13">
        <f t="shared" si="27"/>
        <v>0.34880261787892308</v>
      </c>
      <c r="Q312" s="5">
        <f t="shared" si="28"/>
        <v>202401</v>
      </c>
      <c r="R312" s="21">
        <f t="shared" si="29"/>
        <v>45292</v>
      </c>
    </row>
    <row r="313" spans="1:18" x14ac:dyDescent="0.25">
      <c r="A313" s="5" t="s">
        <v>661</v>
      </c>
      <c r="B313" s="14">
        <v>45699</v>
      </c>
      <c r="C313" s="5" t="s">
        <v>662</v>
      </c>
      <c r="D313" s="10" t="s">
        <v>20</v>
      </c>
      <c r="E313" s="10" t="s">
        <v>154</v>
      </c>
      <c r="F313" s="10" t="s">
        <v>39</v>
      </c>
      <c r="G313" s="15">
        <v>1</v>
      </c>
      <c r="H313" s="11">
        <v>5261.4279999999999</v>
      </c>
      <c r="I313" s="12">
        <v>0</v>
      </c>
      <c r="J313" s="11">
        <v>5261.4279999999999</v>
      </c>
      <c r="K313" s="11">
        <v>2100.7860000000001</v>
      </c>
      <c r="L313" s="10" t="s">
        <v>17</v>
      </c>
      <c r="M313" s="5">
        <f t="shared" si="24"/>
        <v>2025</v>
      </c>
      <c r="N313" s="5">
        <f t="shared" si="25"/>
        <v>2</v>
      </c>
      <c r="O313" s="21">
        <f t="shared" si="26"/>
        <v>45689</v>
      </c>
      <c r="P313" s="13">
        <f t="shared" si="27"/>
        <v>0.39928057553956836</v>
      </c>
      <c r="Q313" s="5">
        <f t="shared" si="28"/>
        <v>202502</v>
      </c>
      <c r="R313" s="21">
        <f t="shared" si="29"/>
        <v>45689</v>
      </c>
    </row>
    <row r="314" spans="1:18" x14ac:dyDescent="0.25">
      <c r="A314" s="5" t="s">
        <v>663</v>
      </c>
      <c r="B314" s="14">
        <v>45370</v>
      </c>
      <c r="C314" s="5" t="s">
        <v>664</v>
      </c>
      <c r="D314" s="10" t="s">
        <v>37</v>
      </c>
      <c r="E314" s="10" t="s">
        <v>105</v>
      </c>
      <c r="F314" s="10" t="s">
        <v>39</v>
      </c>
      <c r="G314" s="15">
        <v>3</v>
      </c>
      <c r="H314" s="11">
        <v>5053.2419999999993</v>
      </c>
      <c r="I314" s="12">
        <v>25</v>
      </c>
      <c r="J314" s="11">
        <v>11369.7945</v>
      </c>
      <c r="K314" s="11">
        <v>2358.1795999999999</v>
      </c>
      <c r="L314" s="10" t="s">
        <v>17</v>
      </c>
      <c r="M314" s="5">
        <f t="shared" si="24"/>
        <v>2024</v>
      </c>
      <c r="N314" s="5">
        <f t="shared" si="25"/>
        <v>3</v>
      </c>
      <c r="O314" s="21">
        <f t="shared" si="26"/>
        <v>45352</v>
      </c>
      <c r="P314" s="13">
        <f t="shared" si="27"/>
        <v>0.2074074074074074</v>
      </c>
      <c r="Q314" s="5">
        <f t="shared" si="28"/>
        <v>202403</v>
      </c>
      <c r="R314" s="21">
        <f t="shared" si="29"/>
        <v>45352</v>
      </c>
    </row>
    <row r="315" spans="1:18" x14ac:dyDescent="0.25">
      <c r="A315" s="5" t="s">
        <v>665</v>
      </c>
      <c r="B315" s="14">
        <v>45560</v>
      </c>
      <c r="C315" s="5" t="s">
        <v>666</v>
      </c>
      <c r="D315" s="10" t="s">
        <v>26</v>
      </c>
      <c r="E315" s="10" t="s">
        <v>184</v>
      </c>
      <c r="F315" s="10" t="s">
        <v>49</v>
      </c>
      <c r="G315" s="15">
        <v>3</v>
      </c>
      <c r="H315" s="11">
        <v>4970.9138999999996</v>
      </c>
      <c r="I315" s="12">
        <v>0</v>
      </c>
      <c r="J315" s="11">
        <v>14912.7417</v>
      </c>
      <c r="K315" s="11">
        <v>6041.1791999999996</v>
      </c>
      <c r="L315" s="10" t="s">
        <v>23</v>
      </c>
      <c r="M315" s="5">
        <f t="shared" si="24"/>
        <v>2024</v>
      </c>
      <c r="N315" s="5">
        <f t="shared" si="25"/>
        <v>9</v>
      </c>
      <c r="O315" s="21">
        <f t="shared" si="26"/>
        <v>45536</v>
      </c>
      <c r="P315" s="13">
        <f t="shared" si="27"/>
        <v>0.40510184656386822</v>
      </c>
      <c r="Q315" s="5">
        <f t="shared" si="28"/>
        <v>202409</v>
      </c>
      <c r="R315" s="21">
        <f t="shared" si="29"/>
        <v>45536</v>
      </c>
    </row>
    <row r="316" spans="1:18" x14ac:dyDescent="0.25">
      <c r="A316" s="5" t="s">
        <v>667</v>
      </c>
      <c r="B316" s="14">
        <v>46010</v>
      </c>
      <c r="C316" s="5" t="s">
        <v>668</v>
      </c>
      <c r="D316" s="10" t="s">
        <v>42</v>
      </c>
      <c r="E316" s="10" t="s">
        <v>74</v>
      </c>
      <c r="F316" s="10" t="s">
        <v>75</v>
      </c>
      <c r="G316" s="15">
        <v>1</v>
      </c>
      <c r="H316" s="11">
        <v>1295.4847</v>
      </c>
      <c r="I316" s="12">
        <v>15</v>
      </c>
      <c r="J316" s="11">
        <v>1101.4931999999999</v>
      </c>
      <c r="K316" s="11">
        <v>365.27179999999998</v>
      </c>
      <c r="L316" s="10" t="s">
        <v>23</v>
      </c>
      <c r="M316" s="5">
        <f t="shared" si="24"/>
        <v>2025</v>
      </c>
      <c r="N316" s="5">
        <f t="shared" si="25"/>
        <v>12</v>
      </c>
      <c r="O316" s="21">
        <f t="shared" si="26"/>
        <v>45992</v>
      </c>
      <c r="P316" s="13">
        <f t="shared" si="27"/>
        <v>0.33161512027491413</v>
      </c>
      <c r="Q316" s="5">
        <f t="shared" si="28"/>
        <v>202512</v>
      </c>
      <c r="R316" s="21">
        <f t="shared" si="29"/>
        <v>45992</v>
      </c>
    </row>
    <row r="317" spans="1:18" x14ac:dyDescent="0.25">
      <c r="A317" s="5" t="s">
        <v>669</v>
      </c>
      <c r="B317" s="14">
        <v>45636</v>
      </c>
      <c r="C317" s="5" t="s">
        <v>670</v>
      </c>
      <c r="D317" s="10" t="s">
        <v>20</v>
      </c>
      <c r="E317" s="10" t="s">
        <v>184</v>
      </c>
      <c r="F317" s="10" t="s">
        <v>49</v>
      </c>
      <c r="G317" s="15">
        <v>2</v>
      </c>
      <c r="H317" s="11">
        <v>5568.9754999999996</v>
      </c>
      <c r="I317" s="12">
        <v>5</v>
      </c>
      <c r="J317" s="11">
        <v>10581.526599999999</v>
      </c>
      <c r="K317" s="11">
        <v>3197.5476999999996</v>
      </c>
      <c r="L317" s="10" t="s">
        <v>17</v>
      </c>
      <c r="M317" s="5">
        <f t="shared" si="24"/>
        <v>2024</v>
      </c>
      <c r="N317" s="5">
        <f t="shared" si="25"/>
        <v>12</v>
      </c>
      <c r="O317" s="21">
        <f t="shared" si="26"/>
        <v>45627</v>
      </c>
      <c r="P317" s="13">
        <f t="shared" si="27"/>
        <v>0.30218207834018956</v>
      </c>
      <c r="Q317" s="5">
        <f t="shared" si="28"/>
        <v>202412</v>
      </c>
      <c r="R317" s="21">
        <f t="shared" si="29"/>
        <v>45627</v>
      </c>
    </row>
    <row r="318" spans="1:18" x14ac:dyDescent="0.25">
      <c r="A318" s="5" t="s">
        <v>671</v>
      </c>
      <c r="B318" s="14">
        <v>45673</v>
      </c>
      <c r="C318" s="5" t="s">
        <v>672</v>
      </c>
      <c r="D318" s="10" t="s">
        <v>26</v>
      </c>
      <c r="E318" s="10" t="s">
        <v>27</v>
      </c>
      <c r="F318" s="10" t="s">
        <v>22</v>
      </c>
      <c r="G318" s="15">
        <v>1</v>
      </c>
      <c r="H318" s="11">
        <v>3829.6760999999997</v>
      </c>
      <c r="I318" s="12">
        <v>10</v>
      </c>
      <c r="J318" s="11">
        <v>3446.4245999999998</v>
      </c>
      <c r="K318" s="11">
        <v>1524.4893</v>
      </c>
      <c r="L318" s="10" t="s">
        <v>23</v>
      </c>
      <c r="M318" s="5">
        <f t="shared" si="24"/>
        <v>2025</v>
      </c>
      <c r="N318" s="5">
        <f t="shared" si="25"/>
        <v>1</v>
      </c>
      <c r="O318" s="21">
        <f t="shared" si="26"/>
        <v>45658</v>
      </c>
      <c r="P318" s="13">
        <f t="shared" si="27"/>
        <v>0.44233937397034595</v>
      </c>
      <c r="Q318" s="5">
        <f t="shared" si="28"/>
        <v>202501</v>
      </c>
      <c r="R318" s="21">
        <f t="shared" si="29"/>
        <v>45658</v>
      </c>
    </row>
    <row r="319" spans="1:18" x14ac:dyDescent="0.25">
      <c r="A319" s="5" t="s">
        <v>673</v>
      </c>
      <c r="B319" s="14">
        <v>45804</v>
      </c>
      <c r="C319" s="5" t="s">
        <v>674</v>
      </c>
      <c r="D319" s="10" t="s">
        <v>14</v>
      </c>
      <c r="E319" s="10" t="s">
        <v>27</v>
      </c>
      <c r="F319" s="10" t="s">
        <v>22</v>
      </c>
      <c r="G319" s="15">
        <v>1</v>
      </c>
      <c r="H319" s="11">
        <v>2749.9477999999999</v>
      </c>
      <c r="I319" s="12">
        <v>5</v>
      </c>
      <c r="J319" s="11">
        <v>2612.7342999999996</v>
      </c>
      <c r="K319" s="11">
        <v>1059.856</v>
      </c>
      <c r="L319" s="10" t="s">
        <v>17</v>
      </c>
      <c r="M319" s="5">
        <f t="shared" si="24"/>
        <v>2025</v>
      </c>
      <c r="N319" s="5">
        <f t="shared" si="25"/>
        <v>5</v>
      </c>
      <c r="O319" s="21">
        <f t="shared" si="26"/>
        <v>45778</v>
      </c>
      <c r="P319" s="13">
        <f t="shared" si="27"/>
        <v>0.4056501267656647</v>
      </c>
      <c r="Q319" s="5">
        <f t="shared" si="28"/>
        <v>202505</v>
      </c>
      <c r="R319" s="21">
        <f t="shared" si="29"/>
        <v>45778</v>
      </c>
    </row>
    <row r="320" spans="1:18" x14ac:dyDescent="0.25">
      <c r="A320" s="5" t="s">
        <v>675</v>
      </c>
      <c r="B320" s="14">
        <v>45330</v>
      </c>
      <c r="C320" s="5" t="s">
        <v>437</v>
      </c>
      <c r="D320" s="10" t="s">
        <v>14</v>
      </c>
      <c r="E320" s="10" t="s">
        <v>43</v>
      </c>
      <c r="F320" s="10" t="s">
        <v>22</v>
      </c>
      <c r="G320" s="15">
        <v>1</v>
      </c>
      <c r="H320" s="11">
        <v>4421.1135999999997</v>
      </c>
      <c r="I320" s="12">
        <v>10</v>
      </c>
      <c r="J320" s="11">
        <v>3979.1914999999995</v>
      </c>
      <c r="K320" s="11">
        <v>2167.9733000000001</v>
      </c>
      <c r="L320" s="10" t="s">
        <v>17</v>
      </c>
      <c r="M320" s="5">
        <f t="shared" si="24"/>
        <v>2024</v>
      </c>
      <c r="N320" s="5">
        <f t="shared" si="25"/>
        <v>2</v>
      </c>
      <c r="O320" s="21">
        <f t="shared" si="26"/>
        <v>45323</v>
      </c>
      <c r="P320" s="13">
        <f t="shared" si="27"/>
        <v>0.54482758620689664</v>
      </c>
      <c r="Q320" s="5">
        <f t="shared" si="28"/>
        <v>202402</v>
      </c>
      <c r="R320" s="21">
        <f t="shared" si="29"/>
        <v>45323</v>
      </c>
    </row>
    <row r="321" spans="1:18" x14ac:dyDescent="0.25">
      <c r="A321" s="5" t="s">
        <v>676</v>
      </c>
      <c r="B321" s="14">
        <v>45754</v>
      </c>
      <c r="C321" s="5" t="s">
        <v>140</v>
      </c>
      <c r="D321" s="10" t="s">
        <v>37</v>
      </c>
      <c r="E321" s="10" t="s">
        <v>227</v>
      </c>
      <c r="F321" s="10" t="s">
        <v>39</v>
      </c>
      <c r="G321" s="15">
        <v>1</v>
      </c>
      <c r="H321" s="11">
        <v>7275.1543999999994</v>
      </c>
      <c r="I321" s="12">
        <v>10</v>
      </c>
      <c r="J321" s="11">
        <v>6547.4496999999992</v>
      </c>
      <c r="K321" s="11">
        <v>1894.4925999999998</v>
      </c>
      <c r="L321" s="10" t="s">
        <v>23</v>
      </c>
      <c r="M321" s="5">
        <f t="shared" si="24"/>
        <v>2025</v>
      </c>
      <c r="N321" s="5">
        <f t="shared" si="25"/>
        <v>4</v>
      </c>
      <c r="O321" s="21">
        <f t="shared" si="26"/>
        <v>45748</v>
      </c>
      <c r="P321" s="13">
        <f t="shared" si="27"/>
        <v>0.28934817170111288</v>
      </c>
      <c r="Q321" s="5">
        <f t="shared" si="28"/>
        <v>202504</v>
      </c>
      <c r="R321" s="21">
        <f t="shared" si="29"/>
        <v>45748</v>
      </c>
    </row>
    <row r="322" spans="1:18" x14ac:dyDescent="0.25">
      <c r="A322" s="5" t="s">
        <v>677</v>
      </c>
      <c r="B322" s="14">
        <v>45802</v>
      </c>
      <c r="C322" s="5" t="s">
        <v>678</v>
      </c>
      <c r="D322" s="10" t="s">
        <v>37</v>
      </c>
      <c r="E322" s="10" t="s">
        <v>91</v>
      </c>
      <c r="F322" s="10" t="s">
        <v>49</v>
      </c>
      <c r="G322" s="15">
        <v>4</v>
      </c>
      <c r="H322" s="11">
        <v>6823.7692999999999</v>
      </c>
      <c r="I322" s="12">
        <v>15</v>
      </c>
      <c r="J322" s="11">
        <v>23200.437099999999</v>
      </c>
      <c r="K322" s="11">
        <v>8925.5015999999996</v>
      </c>
      <c r="L322" s="10" t="s">
        <v>23</v>
      </c>
      <c r="M322" s="5">
        <f t="shared" ref="M322:M385" si="30">YEAR(B322)</f>
        <v>2025</v>
      </c>
      <c r="N322" s="5">
        <f t="shared" ref="N322:N385" si="31">MONTH(B322)</f>
        <v>5</v>
      </c>
      <c r="O322" s="21">
        <f t="shared" ref="O322:O385" si="32">DATE(YEAR(B322),MONTH(B322),1)</f>
        <v>45778</v>
      </c>
      <c r="P322" s="13">
        <f t="shared" ref="P322:P385" si="33">(K322/J322)</f>
        <v>0.38471264836643959</v>
      </c>
      <c r="Q322" s="5">
        <f t="shared" ref="Q322:Q385" si="34">YEAR(B322)*100+MONTH(B322)</f>
        <v>202505</v>
      </c>
      <c r="R322" s="21">
        <f t="shared" ref="R322:R385" si="35">DATE(YEAR(B322),MONTH(B322),1)</f>
        <v>45778</v>
      </c>
    </row>
    <row r="323" spans="1:18" x14ac:dyDescent="0.25">
      <c r="A323" s="5" t="s">
        <v>679</v>
      </c>
      <c r="B323" s="14">
        <v>45473</v>
      </c>
      <c r="C323" s="5" t="s">
        <v>658</v>
      </c>
      <c r="D323" s="10" t="s">
        <v>20</v>
      </c>
      <c r="E323" s="10" t="s">
        <v>177</v>
      </c>
      <c r="F323" s="10" t="s">
        <v>49</v>
      </c>
      <c r="G323" s="15">
        <v>1</v>
      </c>
      <c r="H323" s="11">
        <v>3306.3721999999998</v>
      </c>
      <c r="I323" s="12">
        <v>15</v>
      </c>
      <c r="J323" s="11">
        <v>2810.511</v>
      </c>
      <c r="K323" s="11">
        <v>1476.2279999999998</v>
      </c>
      <c r="L323" s="10" t="s">
        <v>17</v>
      </c>
      <c r="M323" s="5">
        <f t="shared" si="30"/>
        <v>2024</v>
      </c>
      <c r="N323" s="5">
        <f t="shared" si="31"/>
        <v>6</v>
      </c>
      <c r="O323" s="21">
        <f t="shared" si="32"/>
        <v>45444</v>
      </c>
      <c r="P323" s="13">
        <f t="shared" si="33"/>
        <v>0.52525252525252519</v>
      </c>
      <c r="Q323" s="5">
        <f t="shared" si="34"/>
        <v>202406</v>
      </c>
      <c r="R323" s="21">
        <f t="shared" si="35"/>
        <v>45444</v>
      </c>
    </row>
    <row r="324" spans="1:18" x14ac:dyDescent="0.25">
      <c r="A324" s="5" t="s">
        <v>680</v>
      </c>
      <c r="B324" s="14">
        <v>45674</v>
      </c>
      <c r="C324" s="5" t="s">
        <v>681</v>
      </c>
      <c r="D324" s="10" t="s">
        <v>26</v>
      </c>
      <c r="E324" s="10" t="s">
        <v>291</v>
      </c>
      <c r="F324" s="10" t="s">
        <v>22</v>
      </c>
      <c r="G324" s="15">
        <v>4</v>
      </c>
      <c r="H324" s="11">
        <v>2573.9359999999997</v>
      </c>
      <c r="I324" s="12">
        <v>0</v>
      </c>
      <c r="J324" s="11">
        <v>10295.743999999999</v>
      </c>
      <c r="K324" s="11">
        <v>5316.3134</v>
      </c>
      <c r="L324" s="10" t="s">
        <v>17</v>
      </c>
      <c r="M324" s="5">
        <f t="shared" si="30"/>
        <v>2025</v>
      </c>
      <c r="N324" s="5">
        <f t="shared" si="31"/>
        <v>1</v>
      </c>
      <c r="O324" s="21">
        <f t="shared" si="32"/>
        <v>45658</v>
      </c>
      <c r="P324" s="13">
        <f t="shared" si="33"/>
        <v>0.51636029411764717</v>
      </c>
      <c r="Q324" s="5">
        <f t="shared" si="34"/>
        <v>202501</v>
      </c>
      <c r="R324" s="21">
        <f t="shared" si="35"/>
        <v>45658</v>
      </c>
    </row>
    <row r="325" spans="1:18" x14ac:dyDescent="0.25">
      <c r="A325" s="5" t="s">
        <v>682</v>
      </c>
      <c r="B325" s="14">
        <v>45700</v>
      </c>
      <c r="C325" s="5" t="s">
        <v>683</v>
      </c>
      <c r="D325" s="10" t="s">
        <v>37</v>
      </c>
      <c r="E325" s="10" t="s">
        <v>246</v>
      </c>
      <c r="F325" s="10" t="s">
        <v>75</v>
      </c>
      <c r="G325" s="15">
        <v>1</v>
      </c>
      <c r="H325" s="11">
        <v>4953.8805000000002</v>
      </c>
      <c r="I325" s="12">
        <v>0</v>
      </c>
      <c r="J325" s="11">
        <v>4953.8805000000002</v>
      </c>
      <c r="K325" s="11">
        <v>806.24759999999992</v>
      </c>
      <c r="L325" s="10" t="s">
        <v>17</v>
      </c>
      <c r="M325" s="5">
        <f t="shared" si="30"/>
        <v>2025</v>
      </c>
      <c r="N325" s="5">
        <f t="shared" si="31"/>
        <v>2</v>
      </c>
      <c r="O325" s="21">
        <f t="shared" si="32"/>
        <v>45689</v>
      </c>
      <c r="P325" s="13">
        <f t="shared" si="33"/>
        <v>0.1627507163323782</v>
      </c>
      <c r="Q325" s="5">
        <f t="shared" si="34"/>
        <v>202502</v>
      </c>
      <c r="R325" s="21">
        <f t="shared" si="35"/>
        <v>45689</v>
      </c>
    </row>
    <row r="326" spans="1:18" x14ac:dyDescent="0.25">
      <c r="A326" s="5" t="s">
        <v>684</v>
      </c>
      <c r="B326" s="14">
        <v>45761</v>
      </c>
      <c r="C326" s="5" t="s">
        <v>485</v>
      </c>
      <c r="D326" s="10" t="s">
        <v>20</v>
      </c>
      <c r="E326" s="10" t="s">
        <v>227</v>
      </c>
      <c r="F326" s="10" t="s">
        <v>39</v>
      </c>
      <c r="G326" s="15">
        <v>1</v>
      </c>
      <c r="H326" s="11">
        <v>6738.6022999999986</v>
      </c>
      <c r="I326" s="12">
        <v>0</v>
      </c>
      <c r="J326" s="11">
        <v>6738.6022999999986</v>
      </c>
      <c r="K326" s="11">
        <v>2659.1030000000001</v>
      </c>
      <c r="L326" s="10" t="s">
        <v>17</v>
      </c>
      <c r="M326" s="5">
        <f t="shared" si="30"/>
        <v>2025</v>
      </c>
      <c r="N326" s="5">
        <f t="shared" si="31"/>
        <v>4</v>
      </c>
      <c r="O326" s="21">
        <f t="shared" si="32"/>
        <v>45748</v>
      </c>
      <c r="P326" s="13">
        <f t="shared" si="33"/>
        <v>0.39460749894677721</v>
      </c>
      <c r="Q326" s="5">
        <f t="shared" si="34"/>
        <v>202504</v>
      </c>
      <c r="R326" s="21">
        <f t="shared" si="35"/>
        <v>45748</v>
      </c>
    </row>
    <row r="327" spans="1:18" x14ac:dyDescent="0.25">
      <c r="A327" s="5" t="s">
        <v>685</v>
      </c>
      <c r="B327" s="14">
        <v>45443</v>
      </c>
      <c r="C327" s="5" t="s">
        <v>686</v>
      </c>
      <c r="D327" s="10" t="s">
        <v>14</v>
      </c>
      <c r="E327" s="10" t="s">
        <v>214</v>
      </c>
      <c r="F327" s="10" t="s">
        <v>49</v>
      </c>
      <c r="G327" s="15">
        <v>1</v>
      </c>
      <c r="H327" s="11">
        <v>7967.8459999999995</v>
      </c>
      <c r="I327" s="12">
        <v>10</v>
      </c>
      <c r="J327" s="11">
        <v>7171.0613999999996</v>
      </c>
      <c r="K327" s="11">
        <v>3502.2562999999996</v>
      </c>
      <c r="L327" s="10" t="s">
        <v>23</v>
      </c>
      <c r="M327" s="5">
        <f t="shared" si="30"/>
        <v>2024</v>
      </c>
      <c r="N327" s="5">
        <f t="shared" si="31"/>
        <v>5</v>
      </c>
      <c r="O327" s="21">
        <f t="shared" si="32"/>
        <v>45413</v>
      </c>
      <c r="P327" s="13">
        <f t="shared" si="33"/>
        <v>0.48838743731855366</v>
      </c>
      <c r="Q327" s="5">
        <f t="shared" si="34"/>
        <v>202405</v>
      </c>
      <c r="R327" s="21">
        <f t="shared" si="35"/>
        <v>45413</v>
      </c>
    </row>
    <row r="328" spans="1:18" x14ac:dyDescent="0.25">
      <c r="A328" s="5" t="s">
        <v>687</v>
      </c>
      <c r="B328" s="14">
        <v>45411</v>
      </c>
      <c r="C328" s="5" t="s">
        <v>688</v>
      </c>
      <c r="D328" s="10" t="s">
        <v>42</v>
      </c>
      <c r="E328" s="10" t="s">
        <v>133</v>
      </c>
      <c r="F328" s="10" t="s">
        <v>75</v>
      </c>
      <c r="G328" s="15">
        <v>2</v>
      </c>
      <c r="H328" s="11">
        <v>3154.0178999999998</v>
      </c>
      <c r="I328" s="12">
        <v>5</v>
      </c>
      <c r="J328" s="11">
        <v>5992.9178999999995</v>
      </c>
      <c r="K328" s="11">
        <v>1162.0563999999999</v>
      </c>
      <c r="L328" s="10" t="s">
        <v>23</v>
      </c>
      <c r="M328" s="5">
        <f t="shared" si="30"/>
        <v>2024</v>
      </c>
      <c r="N328" s="5">
        <f t="shared" si="31"/>
        <v>4</v>
      </c>
      <c r="O328" s="21">
        <f t="shared" si="32"/>
        <v>45383</v>
      </c>
      <c r="P328" s="13">
        <f t="shared" si="33"/>
        <v>0.19390494236538766</v>
      </c>
      <c r="Q328" s="5">
        <f t="shared" si="34"/>
        <v>202404</v>
      </c>
      <c r="R328" s="21">
        <f t="shared" si="35"/>
        <v>45383</v>
      </c>
    </row>
    <row r="329" spans="1:18" x14ac:dyDescent="0.25">
      <c r="A329" s="5" t="s">
        <v>689</v>
      </c>
      <c r="B329" s="14">
        <v>45747</v>
      </c>
      <c r="C329" s="5" t="s">
        <v>690</v>
      </c>
      <c r="D329" s="10" t="s">
        <v>14</v>
      </c>
      <c r="E329" s="10" t="s">
        <v>108</v>
      </c>
      <c r="F329" s="10" t="s">
        <v>75</v>
      </c>
      <c r="G329" s="15">
        <v>3</v>
      </c>
      <c r="H329" s="11">
        <v>5663.6054999999997</v>
      </c>
      <c r="I329" s="12">
        <v>0</v>
      </c>
      <c r="J329" s="11">
        <v>16990.816500000001</v>
      </c>
      <c r="K329" s="11">
        <v>5276.5688</v>
      </c>
      <c r="L329" s="10" t="s">
        <v>34</v>
      </c>
      <c r="M329" s="5">
        <f t="shared" si="30"/>
        <v>2025</v>
      </c>
      <c r="N329" s="5">
        <f t="shared" si="31"/>
        <v>3</v>
      </c>
      <c r="O329" s="21">
        <f t="shared" si="32"/>
        <v>45717</v>
      </c>
      <c r="P329" s="13">
        <f t="shared" si="33"/>
        <v>0.31055416318574214</v>
      </c>
      <c r="Q329" s="5">
        <f t="shared" si="34"/>
        <v>202503</v>
      </c>
      <c r="R329" s="21">
        <f t="shared" si="35"/>
        <v>45717</v>
      </c>
    </row>
    <row r="330" spans="1:18" x14ac:dyDescent="0.25">
      <c r="A330" s="5" t="s">
        <v>691</v>
      </c>
      <c r="B330" s="14">
        <v>45882</v>
      </c>
      <c r="C330" s="5" t="s">
        <v>639</v>
      </c>
      <c r="D330" s="10" t="s">
        <v>26</v>
      </c>
      <c r="E330" s="10" t="s">
        <v>222</v>
      </c>
      <c r="F330" s="10" t="s">
        <v>22</v>
      </c>
      <c r="G330" s="15">
        <v>1</v>
      </c>
      <c r="H330" s="11">
        <v>3185.2457999999997</v>
      </c>
      <c r="I330" s="12">
        <v>0</v>
      </c>
      <c r="J330" s="11">
        <v>3185.2457999999997</v>
      </c>
      <c r="K330" s="11">
        <v>1659.8101999999999</v>
      </c>
      <c r="L330" s="10" t="s">
        <v>17</v>
      </c>
      <c r="M330" s="5">
        <f t="shared" si="30"/>
        <v>2025</v>
      </c>
      <c r="N330" s="5">
        <f t="shared" si="31"/>
        <v>8</v>
      </c>
      <c r="O330" s="21">
        <f t="shared" si="32"/>
        <v>45870</v>
      </c>
      <c r="P330" s="13">
        <f t="shared" si="33"/>
        <v>0.52109328579916814</v>
      </c>
      <c r="Q330" s="5">
        <f t="shared" si="34"/>
        <v>202508</v>
      </c>
      <c r="R330" s="21">
        <f t="shared" si="35"/>
        <v>45870</v>
      </c>
    </row>
    <row r="331" spans="1:18" x14ac:dyDescent="0.25">
      <c r="A331" s="5" t="s">
        <v>692</v>
      </c>
      <c r="B331" s="14">
        <v>45604</v>
      </c>
      <c r="C331" s="5" t="s">
        <v>693</v>
      </c>
      <c r="D331" s="10" t="s">
        <v>26</v>
      </c>
      <c r="E331" s="10" t="s">
        <v>214</v>
      </c>
      <c r="F331" s="10" t="s">
        <v>49</v>
      </c>
      <c r="G331" s="15">
        <v>2</v>
      </c>
      <c r="H331" s="11">
        <v>6903.2584999999999</v>
      </c>
      <c r="I331" s="12">
        <v>10</v>
      </c>
      <c r="J331" s="11">
        <v>12425.865299999999</v>
      </c>
      <c r="K331" s="11">
        <v>4017.0435000000002</v>
      </c>
      <c r="L331" s="10" t="s">
        <v>17</v>
      </c>
      <c r="M331" s="5">
        <f t="shared" si="30"/>
        <v>2024</v>
      </c>
      <c r="N331" s="5">
        <f t="shared" si="31"/>
        <v>11</v>
      </c>
      <c r="O331" s="21">
        <f t="shared" si="32"/>
        <v>45597</v>
      </c>
      <c r="P331" s="13">
        <f t="shared" si="33"/>
        <v>0.32328078592643367</v>
      </c>
      <c r="Q331" s="5">
        <f t="shared" si="34"/>
        <v>202411</v>
      </c>
      <c r="R331" s="21">
        <f t="shared" si="35"/>
        <v>45597</v>
      </c>
    </row>
    <row r="332" spans="1:18" x14ac:dyDescent="0.25">
      <c r="A332" s="5" t="s">
        <v>694</v>
      </c>
      <c r="B332" s="14">
        <v>45479</v>
      </c>
      <c r="C332" s="5" t="s">
        <v>695</v>
      </c>
      <c r="D332" s="10" t="s">
        <v>20</v>
      </c>
      <c r="E332" s="10" t="s">
        <v>460</v>
      </c>
      <c r="F332" s="10" t="s">
        <v>75</v>
      </c>
      <c r="G332" s="15">
        <v>3</v>
      </c>
      <c r="H332" s="11">
        <v>3572.2824999999998</v>
      </c>
      <c r="I332" s="12">
        <v>20</v>
      </c>
      <c r="J332" s="11">
        <v>8573.4779999999992</v>
      </c>
      <c r="K332" s="11">
        <v>2040.2227999999998</v>
      </c>
      <c r="L332" s="10" t="s">
        <v>17</v>
      </c>
      <c r="M332" s="5">
        <f t="shared" si="30"/>
        <v>2024</v>
      </c>
      <c r="N332" s="5">
        <f t="shared" si="31"/>
        <v>7</v>
      </c>
      <c r="O332" s="21">
        <f t="shared" si="32"/>
        <v>45474</v>
      </c>
      <c r="P332" s="13">
        <f t="shared" si="33"/>
        <v>0.2379690949227373</v>
      </c>
      <c r="Q332" s="5">
        <f t="shared" si="34"/>
        <v>202407</v>
      </c>
      <c r="R332" s="21">
        <f t="shared" si="35"/>
        <v>45474</v>
      </c>
    </row>
    <row r="333" spans="1:18" x14ac:dyDescent="0.25">
      <c r="A333" s="5" t="s">
        <v>696</v>
      </c>
      <c r="B333" s="14">
        <v>45500</v>
      </c>
      <c r="C333" s="5" t="s">
        <v>421</v>
      </c>
      <c r="D333" s="10" t="s">
        <v>42</v>
      </c>
      <c r="E333" s="10" t="s">
        <v>30</v>
      </c>
      <c r="F333" s="10" t="s">
        <v>16</v>
      </c>
      <c r="G333" s="15">
        <v>2</v>
      </c>
      <c r="H333" s="11">
        <v>7078.3239999999996</v>
      </c>
      <c r="I333" s="12">
        <v>15</v>
      </c>
      <c r="J333" s="11">
        <v>12033.150799999999</v>
      </c>
      <c r="K333" s="11">
        <v>2400.7631000000001</v>
      </c>
      <c r="L333" s="10" t="s">
        <v>17</v>
      </c>
      <c r="M333" s="5">
        <f t="shared" si="30"/>
        <v>2024</v>
      </c>
      <c r="N333" s="5">
        <f t="shared" si="31"/>
        <v>7</v>
      </c>
      <c r="O333" s="21">
        <f t="shared" si="32"/>
        <v>45474</v>
      </c>
      <c r="P333" s="13">
        <f t="shared" si="33"/>
        <v>0.19951242529097202</v>
      </c>
      <c r="Q333" s="5">
        <f t="shared" si="34"/>
        <v>202407</v>
      </c>
      <c r="R333" s="21">
        <f t="shared" si="35"/>
        <v>45474</v>
      </c>
    </row>
    <row r="334" spans="1:18" x14ac:dyDescent="0.25">
      <c r="A334" s="5" t="s">
        <v>697</v>
      </c>
      <c r="B334" s="14">
        <v>45835</v>
      </c>
      <c r="C334" s="5" t="s">
        <v>698</v>
      </c>
      <c r="D334" s="10" t="s">
        <v>14</v>
      </c>
      <c r="E334" s="10" t="s">
        <v>88</v>
      </c>
      <c r="F334" s="10" t="s">
        <v>22</v>
      </c>
      <c r="G334" s="15">
        <v>1</v>
      </c>
      <c r="H334" s="11">
        <v>2590.9694</v>
      </c>
      <c r="I334" s="12">
        <v>0</v>
      </c>
      <c r="J334" s="11">
        <v>2590.9694</v>
      </c>
      <c r="K334" s="11">
        <v>1545.3078999999998</v>
      </c>
      <c r="L334" s="10" t="s">
        <v>17</v>
      </c>
      <c r="M334" s="5">
        <f t="shared" si="30"/>
        <v>2025</v>
      </c>
      <c r="N334" s="5">
        <f t="shared" si="31"/>
        <v>6</v>
      </c>
      <c r="O334" s="21">
        <f t="shared" si="32"/>
        <v>45809</v>
      </c>
      <c r="P334" s="13">
        <f t="shared" si="33"/>
        <v>0.59642074506939369</v>
      </c>
      <c r="Q334" s="5">
        <f t="shared" si="34"/>
        <v>202506</v>
      </c>
      <c r="R334" s="21">
        <f t="shared" si="35"/>
        <v>45809</v>
      </c>
    </row>
    <row r="335" spans="1:18" x14ac:dyDescent="0.25">
      <c r="A335" s="5" t="s">
        <v>699</v>
      </c>
      <c r="B335" s="14">
        <v>45610</v>
      </c>
      <c r="C335" s="5" t="s">
        <v>700</v>
      </c>
      <c r="D335" s="10" t="s">
        <v>26</v>
      </c>
      <c r="E335" s="10" t="s">
        <v>74</v>
      </c>
      <c r="F335" s="10" t="s">
        <v>75</v>
      </c>
      <c r="G335" s="15">
        <v>4</v>
      </c>
      <c r="H335" s="11">
        <v>3963.1044000000002</v>
      </c>
      <c r="I335" s="12">
        <v>25</v>
      </c>
      <c r="J335" s="11">
        <v>11889.313199999999</v>
      </c>
      <c r="K335" s="11">
        <v>2624.0898999999999</v>
      </c>
      <c r="L335" s="10" t="s">
        <v>23</v>
      </c>
      <c r="M335" s="5">
        <f t="shared" si="30"/>
        <v>2024</v>
      </c>
      <c r="N335" s="5">
        <f t="shared" si="31"/>
        <v>11</v>
      </c>
      <c r="O335" s="21">
        <f t="shared" si="32"/>
        <v>45597</v>
      </c>
      <c r="P335" s="13">
        <f t="shared" si="33"/>
        <v>0.22070996497930598</v>
      </c>
      <c r="Q335" s="5">
        <f t="shared" si="34"/>
        <v>202411</v>
      </c>
      <c r="R335" s="21">
        <f t="shared" si="35"/>
        <v>45597</v>
      </c>
    </row>
    <row r="336" spans="1:18" x14ac:dyDescent="0.25">
      <c r="A336" s="5" t="s">
        <v>701</v>
      </c>
      <c r="B336" s="14">
        <v>45518</v>
      </c>
      <c r="C336" s="5" t="s">
        <v>702</v>
      </c>
      <c r="D336" s="10" t="s">
        <v>20</v>
      </c>
      <c r="E336" s="10" t="s">
        <v>15</v>
      </c>
      <c r="F336" s="10" t="s">
        <v>16</v>
      </c>
      <c r="G336" s="15">
        <v>2</v>
      </c>
      <c r="H336" s="11">
        <v>6183.1242000000002</v>
      </c>
      <c r="I336" s="12">
        <v>5</v>
      </c>
      <c r="J336" s="11">
        <v>11748.3145</v>
      </c>
      <c r="K336" s="11">
        <v>2755.6255999999998</v>
      </c>
      <c r="L336" s="10" t="s">
        <v>23</v>
      </c>
      <c r="M336" s="5">
        <f t="shared" si="30"/>
        <v>2024</v>
      </c>
      <c r="N336" s="5">
        <f t="shared" si="31"/>
        <v>8</v>
      </c>
      <c r="O336" s="21">
        <f t="shared" si="32"/>
        <v>45505</v>
      </c>
      <c r="P336" s="13">
        <f t="shared" si="33"/>
        <v>0.2345549738219895</v>
      </c>
      <c r="Q336" s="5">
        <f t="shared" si="34"/>
        <v>202408</v>
      </c>
      <c r="R336" s="21">
        <f t="shared" si="35"/>
        <v>45505</v>
      </c>
    </row>
    <row r="337" spans="1:18" x14ac:dyDescent="0.25">
      <c r="A337" s="5" t="s">
        <v>703</v>
      </c>
      <c r="B337" s="14">
        <v>45636</v>
      </c>
      <c r="C337" s="5" t="s">
        <v>704</v>
      </c>
      <c r="D337" s="10" t="s">
        <v>37</v>
      </c>
      <c r="E337" s="10" t="s">
        <v>108</v>
      </c>
      <c r="F337" s="10" t="s">
        <v>75</v>
      </c>
      <c r="G337" s="15">
        <v>1</v>
      </c>
      <c r="H337" s="11">
        <v>5171.5294999999996</v>
      </c>
      <c r="I337" s="12">
        <v>5</v>
      </c>
      <c r="J337" s="11">
        <v>4913.1895999999997</v>
      </c>
      <c r="K337" s="11">
        <v>814.76429999999993</v>
      </c>
      <c r="L337" s="10" t="s">
        <v>17</v>
      </c>
      <c r="M337" s="5">
        <f t="shared" si="30"/>
        <v>2024</v>
      </c>
      <c r="N337" s="5">
        <f t="shared" si="31"/>
        <v>12</v>
      </c>
      <c r="O337" s="21">
        <f t="shared" si="32"/>
        <v>45627</v>
      </c>
      <c r="P337" s="13">
        <f t="shared" si="33"/>
        <v>0.16583204930662557</v>
      </c>
      <c r="Q337" s="5">
        <f t="shared" si="34"/>
        <v>202412</v>
      </c>
      <c r="R337" s="21">
        <f t="shared" si="35"/>
        <v>45627</v>
      </c>
    </row>
    <row r="338" spans="1:18" x14ac:dyDescent="0.25">
      <c r="A338" s="5" t="s">
        <v>705</v>
      </c>
      <c r="B338" s="14">
        <v>45789</v>
      </c>
      <c r="C338" s="5" t="s">
        <v>706</v>
      </c>
      <c r="D338" s="10" t="s">
        <v>14</v>
      </c>
      <c r="E338" s="10" t="s">
        <v>21</v>
      </c>
      <c r="F338" s="10" t="s">
        <v>22</v>
      </c>
      <c r="G338" s="15">
        <v>3</v>
      </c>
      <c r="H338" s="11">
        <v>2374.2666999999997</v>
      </c>
      <c r="I338" s="12">
        <v>5</v>
      </c>
      <c r="J338" s="11">
        <v>6766.9913000000006</v>
      </c>
      <c r="K338" s="11">
        <v>4107.8882999999996</v>
      </c>
      <c r="L338" s="10" t="s">
        <v>34</v>
      </c>
      <c r="M338" s="5">
        <f t="shared" si="30"/>
        <v>2025</v>
      </c>
      <c r="N338" s="5">
        <f t="shared" si="31"/>
        <v>5</v>
      </c>
      <c r="O338" s="21">
        <f t="shared" si="32"/>
        <v>45778</v>
      </c>
      <c r="P338" s="13">
        <f t="shared" si="33"/>
        <v>0.60704796531953564</v>
      </c>
      <c r="Q338" s="5">
        <f t="shared" si="34"/>
        <v>202505</v>
      </c>
      <c r="R338" s="21">
        <f t="shared" si="35"/>
        <v>45778</v>
      </c>
    </row>
    <row r="339" spans="1:18" x14ac:dyDescent="0.25">
      <c r="A339" s="5" t="s">
        <v>707</v>
      </c>
      <c r="B339" s="14">
        <v>45463</v>
      </c>
      <c r="C339" s="5" t="s">
        <v>708</v>
      </c>
      <c r="D339" s="10" t="s">
        <v>37</v>
      </c>
      <c r="E339" s="10" t="s">
        <v>214</v>
      </c>
      <c r="F339" s="10" t="s">
        <v>49</v>
      </c>
      <c r="G339" s="15">
        <v>1</v>
      </c>
      <c r="H339" s="11">
        <v>4396.5097999999998</v>
      </c>
      <c r="I339" s="12">
        <v>15</v>
      </c>
      <c r="J339" s="11">
        <v>3736.9387000000002</v>
      </c>
      <c r="K339" s="11">
        <v>1538.6838</v>
      </c>
      <c r="L339" s="10" t="s">
        <v>17</v>
      </c>
      <c r="M339" s="5">
        <f t="shared" si="30"/>
        <v>2024</v>
      </c>
      <c r="N339" s="5">
        <f t="shared" si="31"/>
        <v>6</v>
      </c>
      <c r="O339" s="21">
        <f t="shared" si="32"/>
        <v>45444</v>
      </c>
      <c r="P339" s="13">
        <f t="shared" si="33"/>
        <v>0.41174981007850087</v>
      </c>
      <c r="Q339" s="5">
        <f t="shared" si="34"/>
        <v>202406</v>
      </c>
      <c r="R339" s="21">
        <f t="shared" si="35"/>
        <v>45444</v>
      </c>
    </row>
    <row r="340" spans="1:18" x14ac:dyDescent="0.25">
      <c r="A340" s="5" t="s">
        <v>709</v>
      </c>
      <c r="B340" s="14">
        <v>45611</v>
      </c>
      <c r="C340" s="5" t="s">
        <v>618</v>
      </c>
      <c r="D340" s="10" t="s">
        <v>26</v>
      </c>
      <c r="E340" s="10" t="s">
        <v>222</v>
      </c>
      <c r="F340" s="10" t="s">
        <v>22</v>
      </c>
      <c r="G340" s="15">
        <v>3</v>
      </c>
      <c r="H340" s="11">
        <v>4405.0264999999999</v>
      </c>
      <c r="I340" s="12">
        <v>0</v>
      </c>
      <c r="J340" s="11">
        <v>13215.0795</v>
      </c>
      <c r="K340" s="11">
        <v>6198.2649999999994</v>
      </c>
      <c r="L340" s="10" t="s">
        <v>17</v>
      </c>
      <c r="M340" s="5">
        <f t="shared" si="30"/>
        <v>2024</v>
      </c>
      <c r="N340" s="5">
        <f t="shared" si="31"/>
        <v>11</v>
      </c>
      <c r="O340" s="21">
        <f t="shared" si="32"/>
        <v>45597</v>
      </c>
      <c r="P340" s="13">
        <f t="shared" si="33"/>
        <v>0.46902971715001784</v>
      </c>
      <c r="Q340" s="5">
        <f t="shared" si="34"/>
        <v>202411</v>
      </c>
      <c r="R340" s="21">
        <f t="shared" si="35"/>
        <v>45597</v>
      </c>
    </row>
    <row r="341" spans="1:18" x14ac:dyDescent="0.25">
      <c r="A341" s="5" t="s">
        <v>710</v>
      </c>
      <c r="B341" s="14">
        <v>45500</v>
      </c>
      <c r="C341" s="5" t="s">
        <v>711</v>
      </c>
      <c r="D341" s="10" t="s">
        <v>42</v>
      </c>
      <c r="E341" s="10" t="s">
        <v>58</v>
      </c>
      <c r="F341" s="10" t="s">
        <v>49</v>
      </c>
      <c r="G341" s="15">
        <v>1</v>
      </c>
      <c r="H341" s="11">
        <v>3390.5928999999996</v>
      </c>
      <c r="I341" s="12">
        <v>5</v>
      </c>
      <c r="J341" s="11">
        <v>3221.2051999999999</v>
      </c>
      <c r="K341" s="11">
        <v>1333.3366999999998</v>
      </c>
      <c r="L341" s="10" t="s">
        <v>17</v>
      </c>
      <c r="M341" s="5">
        <f t="shared" si="30"/>
        <v>2024</v>
      </c>
      <c r="N341" s="5">
        <f t="shared" si="31"/>
        <v>7</v>
      </c>
      <c r="O341" s="21">
        <f t="shared" si="32"/>
        <v>45474</v>
      </c>
      <c r="P341" s="13">
        <f t="shared" si="33"/>
        <v>0.41392479435957691</v>
      </c>
      <c r="Q341" s="5">
        <f t="shared" si="34"/>
        <v>202407</v>
      </c>
      <c r="R341" s="21">
        <f t="shared" si="35"/>
        <v>45474</v>
      </c>
    </row>
    <row r="342" spans="1:18" x14ac:dyDescent="0.25">
      <c r="A342" s="5" t="s">
        <v>712</v>
      </c>
      <c r="B342" s="14">
        <v>45726</v>
      </c>
      <c r="C342" s="5" t="s">
        <v>713</v>
      </c>
      <c r="D342" s="10" t="s">
        <v>42</v>
      </c>
      <c r="E342" s="10" t="s">
        <v>253</v>
      </c>
      <c r="F342" s="10" t="s">
        <v>49</v>
      </c>
      <c r="G342" s="15">
        <v>2</v>
      </c>
      <c r="H342" s="11">
        <v>3594.9937</v>
      </c>
      <c r="I342" s="12">
        <v>0</v>
      </c>
      <c r="J342" s="11">
        <v>7189.9874</v>
      </c>
      <c r="K342" s="11">
        <v>3428.4448999999995</v>
      </c>
      <c r="L342" s="10" t="s">
        <v>17</v>
      </c>
      <c r="M342" s="5">
        <f t="shared" si="30"/>
        <v>2025</v>
      </c>
      <c r="N342" s="5">
        <f t="shared" si="31"/>
        <v>3</v>
      </c>
      <c r="O342" s="21">
        <f t="shared" si="32"/>
        <v>45717</v>
      </c>
      <c r="P342" s="13">
        <f t="shared" si="33"/>
        <v>0.47683600947617788</v>
      </c>
      <c r="Q342" s="5">
        <f t="shared" si="34"/>
        <v>202503</v>
      </c>
      <c r="R342" s="21">
        <f t="shared" si="35"/>
        <v>45717</v>
      </c>
    </row>
    <row r="343" spans="1:18" x14ac:dyDescent="0.25">
      <c r="A343" s="5" t="s">
        <v>714</v>
      </c>
      <c r="B343" s="14">
        <v>45363</v>
      </c>
      <c r="C343" s="5" t="s">
        <v>241</v>
      </c>
      <c r="D343" s="10" t="s">
        <v>14</v>
      </c>
      <c r="E343" s="10" t="s">
        <v>80</v>
      </c>
      <c r="F343" s="10" t="s">
        <v>16</v>
      </c>
      <c r="G343" s="15">
        <v>2</v>
      </c>
      <c r="H343" s="11">
        <v>2546.4933000000001</v>
      </c>
      <c r="I343" s="12">
        <v>20</v>
      </c>
      <c r="J343" s="11">
        <v>4074.7678000000001</v>
      </c>
      <c r="K343" s="11">
        <v>694.58420000000001</v>
      </c>
      <c r="L343" s="10" t="s">
        <v>23</v>
      </c>
      <c r="M343" s="5">
        <f t="shared" si="30"/>
        <v>2024</v>
      </c>
      <c r="N343" s="5">
        <f t="shared" si="31"/>
        <v>3</v>
      </c>
      <c r="O343" s="21">
        <f t="shared" si="32"/>
        <v>45352</v>
      </c>
      <c r="P343" s="13">
        <f t="shared" si="33"/>
        <v>0.1704598235020901</v>
      </c>
      <c r="Q343" s="5">
        <f t="shared" si="34"/>
        <v>202403</v>
      </c>
      <c r="R343" s="21">
        <f t="shared" si="35"/>
        <v>45352</v>
      </c>
    </row>
    <row r="344" spans="1:18" x14ac:dyDescent="0.25">
      <c r="A344" s="5" t="s">
        <v>715</v>
      </c>
      <c r="B344" s="14">
        <v>45473</v>
      </c>
      <c r="C344" s="5" t="s">
        <v>156</v>
      </c>
      <c r="D344" s="10" t="s">
        <v>42</v>
      </c>
      <c r="E344" s="10" t="s">
        <v>269</v>
      </c>
      <c r="F344" s="10" t="s">
        <v>75</v>
      </c>
      <c r="G344" s="15">
        <v>4</v>
      </c>
      <c r="H344" s="11">
        <v>1956.0021000000002</v>
      </c>
      <c r="I344" s="12">
        <v>5</v>
      </c>
      <c r="J344" s="11">
        <v>7433.1864999999998</v>
      </c>
      <c r="K344" s="11">
        <v>1958.8409999999999</v>
      </c>
      <c r="L344" s="10" t="s">
        <v>17</v>
      </c>
      <c r="M344" s="5">
        <f t="shared" si="30"/>
        <v>2024</v>
      </c>
      <c r="N344" s="5">
        <f t="shared" si="31"/>
        <v>6</v>
      </c>
      <c r="O344" s="21">
        <f t="shared" si="32"/>
        <v>45444</v>
      </c>
      <c r="P344" s="13">
        <f t="shared" si="33"/>
        <v>0.26352641629535328</v>
      </c>
      <c r="Q344" s="5">
        <f t="shared" si="34"/>
        <v>202406</v>
      </c>
      <c r="R344" s="21">
        <f t="shared" si="35"/>
        <v>45444</v>
      </c>
    </row>
    <row r="345" spans="1:18" x14ac:dyDescent="0.25">
      <c r="A345" s="5" t="s">
        <v>716</v>
      </c>
      <c r="B345" s="14">
        <v>45933</v>
      </c>
      <c r="C345" s="5" t="s">
        <v>717</v>
      </c>
      <c r="D345" s="10" t="s">
        <v>14</v>
      </c>
      <c r="E345" s="10" t="s">
        <v>309</v>
      </c>
      <c r="F345" s="10" t="s">
        <v>75</v>
      </c>
      <c r="G345" s="15">
        <v>1</v>
      </c>
      <c r="H345" s="11">
        <v>3157.8030999999996</v>
      </c>
      <c r="I345" s="12">
        <v>0</v>
      </c>
      <c r="J345" s="11">
        <v>3157.8030999999996</v>
      </c>
      <c r="K345" s="11">
        <v>1070.2653</v>
      </c>
      <c r="L345" s="10" t="s">
        <v>23</v>
      </c>
      <c r="M345" s="5">
        <f t="shared" si="30"/>
        <v>2025</v>
      </c>
      <c r="N345" s="5">
        <f t="shared" si="31"/>
        <v>10</v>
      </c>
      <c r="O345" s="21">
        <f t="shared" si="32"/>
        <v>45931</v>
      </c>
      <c r="P345" s="13">
        <f t="shared" si="33"/>
        <v>0.33892718010188799</v>
      </c>
      <c r="Q345" s="5">
        <f t="shared" si="34"/>
        <v>202510</v>
      </c>
      <c r="R345" s="21">
        <f t="shared" si="35"/>
        <v>45931</v>
      </c>
    </row>
    <row r="346" spans="1:18" x14ac:dyDescent="0.25">
      <c r="A346" s="5" t="s">
        <v>718</v>
      </c>
      <c r="B346" s="14">
        <v>46012</v>
      </c>
      <c r="C346" s="5" t="s">
        <v>380</v>
      </c>
      <c r="D346" s="10" t="s">
        <v>14</v>
      </c>
      <c r="E346" s="10" t="s">
        <v>64</v>
      </c>
      <c r="F346" s="10" t="s">
        <v>16</v>
      </c>
      <c r="G346" s="15">
        <v>3</v>
      </c>
      <c r="H346" s="11">
        <v>6831.3396999999995</v>
      </c>
      <c r="I346" s="12">
        <v>0</v>
      </c>
      <c r="J346" s="11">
        <v>20494.019099999998</v>
      </c>
      <c r="K346" s="11">
        <v>4049.2176999999997</v>
      </c>
      <c r="L346" s="10" t="s">
        <v>34</v>
      </c>
      <c r="M346" s="5">
        <f t="shared" si="30"/>
        <v>2025</v>
      </c>
      <c r="N346" s="5">
        <f t="shared" si="31"/>
        <v>12</v>
      </c>
      <c r="O346" s="21">
        <f t="shared" si="32"/>
        <v>45992</v>
      </c>
      <c r="P346" s="13">
        <f t="shared" si="33"/>
        <v>0.19758045897400378</v>
      </c>
      <c r="Q346" s="5">
        <f t="shared" si="34"/>
        <v>202512</v>
      </c>
      <c r="R346" s="21">
        <f t="shared" si="35"/>
        <v>45992</v>
      </c>
    </row>
    <row r="347" spans="1:18" x14ac:dyDescent="0.25">
      <c r="A347" s="5" t="s">
        <v>719</v>
      </c>
      <c r="B347" s="14">
        <v>45965</v>
      </c>
      <c r="C347" s="5" t="s">
        <v>720</v>
      </c>
      <c r="D347" s="10" t="s">
        <v>37</v>
      </c>
      <c r="E347" s="10" t="s">
        <v>502</v>
      </c>
      <c r="F347" s="10" t="s">
        <v>22</v>
      </c>
      <c r="G347" s="15">
        <v>1</v>
      </c>
      <c r="H347" s="11">
        <v>3898.7559999999999</v>
      </c>
      <c r="I347" s="12">
        <v>15</v>
      </c>
      <c r="J347" s="11">
        <v>3313.9426000000003</v>
      </c>
      <c r="K347" s="11">
        <v>1878.4055000000001</v>
      </c>
      <c r="L347" s="10" t="s">
        <v>17</v>
      </c>
      <c r="M347" s="5">
        <f t="shared" si="30"/>
        <v>2025</v>
      </c>
      <c r="N347" s="5">
        <f t="shared" si="31"/>
        <v>11</v>
      </c>
      <c r="O347" s="21">
        <f t="shared" si="32"/>
        <v>45962</v>
      </c>
      <c r="P347" s="13">
        <f t="shared" si="33"/>
        <v>0.56681896059394632</v>
      </c>
      <c r="Q347" s="5">
        <f t="shared" si="34"/>
        <v>202511</v>
      </c>
      <c r="R347" s="21">
        <f t="shared" si="35"/>
        <v>45962</v>
      </c>
    </row>
    <row r="348" spans="1:18" x14ac:dyDescent="0.25">
      <c r="A348" s="5" t="s">
        <v>721</v>
      </c>
      <c r="B348" s="14">
        <v>45621</v>
      </c>
      <c r="C348" s="5" t="s">
        <v>338</v>
      </c>
      <c r="D348" s="10" t="s">
        <v>42</v>
      </c>
      <c r="E348" s="10" t="s">
        <v>460</v>
      </c>
      <c r="F348" s="10" t="s">
        <v>75</v>
      </c>
      <c r="G348" s="15">
        <v>4</v>
      </c>
      <c r="H348" s="11">
        <v>3354.6334999999999</v>
      </c>
      <c r="I348" s="12">
        <v>10</v>
      </c>
      <c r="J348" s="11">
        <v>12076.6806</v>
      </c>
      <c r="K348" s="11">
        <v>3615.8123000000001</v>
      </c>
      <c r="L348" s="10" t="s">
        <v>34</v>
      </c>
      <c r="M348" s="5">
        <f t="shared" si="30"/>
        <v>2024</v>
      </c>
      <c r="N348" s="5">
        <f t="shared" si="31"/>
        <v>11</v>
      </c>
      <c r="O348" s="21">
        <f t="shared" si="32"/>
        <v>45597</v>
      </c>
      <c r="P348" s="13">
        <f t="shared" si="33"/>
        <v>0.29940448205610409</v>
      </c>
      <c r="Q348" s="5">
        <f t="shared" si="34"/>
        <v>202411</v>
      </c>
      <c r="R348" s="21">
        <f t="shared" si="35"/>
        <v>45597</v>
      </c>
    </row>
    <row r="349" spans="1:18" x14ac:dyDescent="0.25">
      <c r="A349" s="5" t="s">
        <v>722</v>
      </c>
      <c r="B349" s="14">
        <v>45349</v>
      </c>
      <c r="C349" s="5" t="s">
        <v>355</v>
      </c>
      <c r="D349" s="10" t="s">
        <v>37</v>
      </c>
      <c r="E349" s="10" t="s">
        <v>184</v>
      </c>
      <c r="F349" s="10" t="s">
        <v>49</v>
      </c>
      <c r="G349" s="15">
        <v>2</v>
      </c>
      <c r="H349" s="11">
        <v>5490.4326000000001</v>
      </c>
      <c r="I349" s="12">
        <v>25</v>
      </c>
      <c r="J349" s="11">
        <v>8235.6489000000001</v>
      </c>
      <c r="K349" s="11">
        <v>3853.3335999999999</v>
      </c>
      <c r="L349" s="10" t="s">
        <v>17</v>
      </c>
      <c r="M349" s="5">
        <f t="shared" si="30"/>
        <v>2024</v>
      </c>
      <c r="N349" s="5">
        <f t="shared" si="31"/>
        <v>2</v>
      </c>
      <c r="O349" s="21">
        <f t="shared" si="32"/>
        <v>45323</v>
      </c>
      <c r="P349" s="13">
        <f t="shared" si="33"/>
        <v>0.46788463748132825</v>
      </c>
      <c r="Q349" s="5">
        <f t="shared" si="34"/>
        <v>202402</v>
      </c>
      <c r="R349" s="21">
        <f t="shared" si="35"/>
        <v>45323</v>
      </c>
    </row>
    <row r="350" spans="1:18" x14ac:dyDescent="0.25">
      <c r="A350" s="5" t="s">
        <v>723</v>
      </c>
      <c r="B350" s="14">
        <v>45658</v>
      </c>
      <c r="C350" s="5" t="s">
        <v>724</v>
      </c>
      <c r="D350" s="10" t="s">
        <v>26</v>
      </c>
      <c r="E350" s="10" t="s">
        <v>30</v>
      </c>
      <c r="F350" s="10" t="s">
        <v>16</v>
      </c>
      <c r="G350" s="15">
        <v>1</v>
      </c>
      <c r="H350" s="11">
        <v>11478.618999999999</v>
      </c>
      <c r="I350" s="12">
        <v>0</v>
      </c>
      <c r="J350" s="11">
        <v>11478.618999999999</v>
      </c>
      <c r="K350" s="11">
        <v>1967.3576999999998</v>
      </c>
      <c r="L350" s="10" t="s">
        <v>23</v>
      </c>
      <c r="M350" s="5">
        <f t="shared" si="30"/>
        <v>2025</v>
      </c>
      <c r="N350" s="5">
        <f t="shared" si="31"/>
        <v>1</v>
      </c>
      <c r="O350" s="21">
        <f t="shared" si="32"/>
        <v>45658</v>
      </c>
      <c r="P350" s="13">
        <f t="shared" si="33"/>
        <v>0.17139323990107172</v>
      </c>
      <c r="Q350" s="5">
        <f t="shared" si="34"/>
        <v>202501</v>
      </c>
      <c r="R350" s="21">
        <f t="shared" si="35"/>
        <v>45658</v>
      </c>
    </row>
    <row r="351" spans="1:18" x14ac:dyDescent="0.25">
      <c r="A351" s="5" t="s">
        <v>725</v>
      </c>
      <c r="B351" s="14">
        <v>46020</v>
      </c>
      <c r="C351" s="5" t="s">
        <v>726</v>
      </c>
      <c r="D351" s="10" t="s">
        <v>14</v>
      </c>
      <c r="E351" s="10" t="s">
        <v>154</v>
      </c>
      <c r="F351" s="10" t="s">
        <v>39</v>
      </c>
      <c r="G351" s="15">
        <v>1</v>
      </c>
      <c r="H351" s="11">
        <v>4669.0442000000003</v>
      </c>
      <c r="I351" s="12">
        <v>10</v>
      </c>
      <c r="J351" s="11">
        <v>4202.5182999999997</v>
      </c>
      <c r="K351" s="11">
        <v>1181.9286999999999</v>
      </c>
      <c r="L351" s="10" t="s">
        <v>17</v>
      </c>
      <c r="M351" s="5">
        <f t="shared" si="30"/>
        <v>2025</v>
      </c>
      <c r="N351" s="5">
        <f t="shared" si="31"/>
        <v>12</v>
      </c>
      <c r="O351" s="21">
        <f t="shared" si="32"/>
        <v>45992</v>
      </c>
      <c r="P351" s="13">
        <f t="shared" si="33"/>
        <v>0.28124296329655485</v>
      </c>
      <c r="Q351" s="5">
        <f t="shared" si="34"/>
        <v>202512</v>
      </c>
      <c r="R351" s="21">
        <f t="shared" si="35"/>
        <v>45992</v>
      </c>
    </row>
    <row r="352" spans="1:18" x14ac:dyDescent="0.25">
      <c r="A352" s="5" t="s">
        <v>727</v>
      </c>
      <c r="B352" s="14">
        <v>45750</v>
      </c>
      <c r="C352" s="5" t="s">
        <v>645</v>
      </c>
      <c r="D352" s="10" t="s">
        <v>42</v>
      </c>
      <c r="E352" s="10" t="s">
        <v>48</v>
      </c>
      <c r="F352" s="10" t="s">
        <v>49</v>
      </c>
      <c r="G352" s="15">
        <v>1</v>
      </c>
      <c r="H352" s="11">
        <v>7068.8609999999999</v>
      </c>
      <c r="I352" s="12">
        <v>5</v>
      </c>
      <c r="J352" s="11">
        <v>6715.8910999999998</v>
      </c>
      <c r="K352" s="11">
        <v>3002.6098999999999</v>
      </c>
      <c r="L352" s="10" t="s">
        <v>17</v>
      </c>
      <c r="M352" s="5">
        <f t="shared" si="30"/>
        <v>2025</v>
      </c>
      <c r="N352" s="5">
        <f t="shared" si="31"/>
        <v>4</v>
      </c>
      <c r="O352" s="21">
        <f t="shared" si="32"/>
        <v>45748</v>
      </c>
      <c r="P352" s="13">
        <f t="shared" si="33"/>
        <v>0.44709031985345921</v>
      </c>
      <c r="Q352" s="5">
        <f t="shared" si="34"/>
        <v>202504</v>
      </c>
      <c r="R352" s="21">
        <f t="shared" si="35"/>
        <v>45748</v>
      </c>
    </row>
    <row r="353" spans="1:18" x14ac:dyDescent="0.25">
      <c r="A353" s="5" t="s">
        <v>728</v>
      </c>
      <c r="B353" s="14">
        <v>45651</v>
      </c>
      <c r="C353" s="5" t="s">
        <v>729</v>
      </c>
      <c r="D353" s="10" t="s">
        <v>26</v>
      </c>
      <c r="E353" s="10" t="s">
        <v>214</v>
      </c>
      <c r="F353" s="10" t="s">
        <v>49</v>
      </c>
      <c r="G353" s="15">
        <v>1</v>
      </c>
      <c r="H353" s="11">
        <v>2895.6779999999999</v>
      </c>
      <c r="I353" s="12">
        <v>5</v>
      </c>
      <c r="J353" s="11">
        <v>2750.8941</v>
      </c>
      <c r="K353" s="11">
        <v>976.58159999999998</v>
      </c>
      <c r="L353" s="10" t="s">
        <v>17</v>
      </c>
      <c r="M353" s="5">
        <f t="shared" si="30"/>
        <v>2024</v>
      </c>
      <c r="N353" s="5">
        <f t="shared" si="31"/>
        <v>12</v>
      </c>
      <c r="O353" s="21">
        <f t="shared" si="32"/>
        <v>45627</v>
      </c>
      <c r="P353" s="13">
        <f t="shared" si="33"/>
        <v>0.35500515995872034</v>
      </c>
      <c r="Q353" s="5">
        <f t="shared" si="34"/>
        <v>202412</v>
      </c>
      <c r="R353" s="21">
        <f t="shared" si="35"/>
        <v>45627</v>
      </c>
    </row>
    <row r="354" spans="1:18" x14ac:dyDescent="0.25">
      <c r="A354" s="5" t="s">
        <v>730</v>
      </c>
      <c r="B354" s="14">
        <v>45376</v>
      </c>
      <c r="C354" s="5" t="s">
        <v>153</v>
      </c>
      <c r="D354" s="10" t="s">
        <v>42</v>
      </c>
      <c r="E354" s="10" t="s">
        <v>30</v>
      </c>
      <c r="F354" s="10" t="s">
        <v>16</v>
      </c>
      <c r="G354" s="15">
        <v>1</v>
      </c>
      <c r="H354" s="11">
        <v>11096.3138</v>
      </c>
      <c r="I354" s="12">
        <v>15</v>
      </c>
      <c r="J354" s="11">
        <v>9431.7721000000001</v>
      </c>
      <c r="K354" s="11">
        <v>1769.5809999999999</v>
      </c>
      <c r="L354" s="10" t="s">
        <v>23</v>
      </c>
      <c r="M354" s="5">
        <f t="shared" si="30"/>
        <v>2024</v>
      </c>
      <c r="N354" s="5">
        <f t="shared" si="31"/>
        <v>3</v>
      </c>
      <c r="O354" s="21">
        <f t="shared" si="32"/>
        <v>45352</v>
      </c>
      <c r="P354" s="13">
        <f t="shared" si="33"/>
        <v>0.18761914317246914</v>
      </c>
      <c r="Q354" s="5">
        <f t="shared" si="34"/>
        <v>202403</v>
      </c>
      <c r="R354" s="21">
        <f t="shared" si="35"/>
        <v>45352</v>
      </c>
    </row>
    <row r="355" spans="1:18" x14ac:dyDescent="0.25">
      <c r="A355" s="5" t="s">
        <v>731</v>
      </c>
      <c r="B355" s="14">
        <v>45396</v>
      </c>
      <c r="C355" s="5" t="s">
        <v>732</v>
      </c>
      <c r="D355" s="10" t="s">
        <v>37</v>
      </c>
      <c r="E355" s="10" t="s">
        <v>74</v>
      </c>
      <c r="F355" s="10" t="s">
        <v>75</v>
      </c>
      <c r="G355" s="15">
        <v>1</v>
      </c>
      <c r="H355" s="11">
        <v>3009.2339999999999</v>
      </c>
      <c r="I355" s="12">
        <v>15</v>
      </c>
      <c r="J355" s="11">
        <v>2557.8489</v>
      </c>
      <c r="K355" s="11">
        <v>750.41589999999997</v>
      </c>
      <c r="L355" s="10" t="s">
        <v>34</v>
      </c>
      <c r="M355" s="5">
        <f t="shared" si="30"/>
        <v>2024</v>
      </c>
      <c r="N355" s="5">
        <f t="shared" si="31"/>
        <v>4</v>
      </c>
      <c r="O355" s="21">
        <f t="shared" si="32"/>
        <v>45383</v>
      </c>
      <c r="P355" s="13">
        <f t="shared" si="33"/>
        <v>0.29337772844987048</v>
      </c>
      <c r="Q355" s="5">
        <f t="shared" si="34"/>
        <v>202404</v>
      </c>
      <c r="R355" s="21">
        <f t="shared" si="35"/>
        <v>45383</v>
      </c>
    </row>
    <row r="356" spans="1:18" x14ac:dyDescent="0.25">
      <c r="A356" s="5" t="s">
        <v>733</v>
      </c>
      <c r="B356" s="14">
        <v>45444</v>
      </c>
      <c r="C356" s="5" t="s">
        <v>734</v>
      </c>
      <c r="D356" s="10" t="s">
        <v>20</v>
      </c>
      <c r="E356" s="10" t="s">
        <v>91</v>
      </c>
      <c r="F356" s="10" t="s">
        <v>49</v>
      </c>
      <c r="G356" s="15">
        <v>1</v>
      </c>
      <c r="H356" s="11">
        <v>7370.7307000000001</v>
      </c>
      <c r="I356" s="12">
        <v>10</v>
      </c>
      <c r="J356" s="11">
        <v>6633.5629999999992</v>
      </c>
      <c r="K356" s="11">
        <v>2732.9143999999997</v>
      </c>
      <c r="L356" s="10" t="s">
        <v>23</v>
      </c>
      <c r="M356" s="5">
        <f t="shared" si="30"/>
        <v>2024</v>
      </c>
      <c r="N356" s="5">
        <f t="shared" si="31"/>
        <v>6</v>
      </c>
      <c r="O356" s="21">
        <f t="shared" si="32"/>
        <v>45444</v>
      </c>
      <c r="P356" s="13">
        <f t="shared" si="33"/>
        <v>0.41198288159771757</v>
      </c>
      <c r="Q356" s="5">
        <f t="shared" si="34"/>
        <v>202406</v>
      </c>
      <c r="R356" s="21">
        <f t="shared" si="35"/>
        <v>45444</v>
      </c>
    </row>
    <row r="357" spans="1:18" x14ac:dyDescent="0.25">
      <c r="A357" s="5" t="s">
        <v>735</v>
      </c>
      <c r="B357" s="14">
        <v>45854</v>
      </c>
      <c r="C357" s="5" t="s">
        <v>736</v>
      </c>
      <c r="D357" s="10" t="s">
        <v>14</v>
      </c>
      <c r="E357" s="10" t="s">
        <v>148</v>
      </c>
      <c r="F357" s="10" t="s">
        <v>16</v>
      </c>
      <c r="G357" s="15">
        <v>5</v>
      </c>
      <c r="H357" s="11">
        <v>10916.516799999999</v>
      </c>
      <c r="I357" s="12">
        <v>20</v>
      </c>
      <c r="J357" s="11">
        <v>43666.067199999998</v>
      </c>
      <c r="K357" s="11">
        <v>5878.4155999999994</v>
      </c>
      <c r="L357" s="10" t="s">
        <v>17</v>
      </c>
      <c r="M357" s="5">
        <f t="shared" si="30"/>
        <v>2025</v>
      </c>
      <c r="N357" s="5">
        <f t="shared" si="31"/>
        <v>7</v>
      </c>
      <c r="O357" s="21">
        <f t="shared" si="32"/>
        <v>45839</v>
      </c>
      <c r="P357" s="13">
        <f t="shared" si="33"/>
        <v>0.13462205270457697</v>
      </c>
      <c r="Q357" s="5">
        <f t="shared" si="34"/>
        <v>202507</v>
      </c>
      <c r="R357" s="21">
        <f t="shared" si="35"/>
        <v>45839</v>
      </c>
    </row>
    <row r="358" spans="1:18" x14ac:dyDescent="0.25">
      <c r="A358" s="5" t="s">
        <v>737</v>
      </c>
      <c r="B358" s="14">
        <v>45700</v>
      </c>
      <c r="C358" s="5" t="s">
        <v>738</v>
      </c>
      <c r="D358" s="10" t="s">
        <v>20</v>
      </c>
      <c r="E358" s="10" t="s">
        <v>232</v>
      </c>
      <c r="F358" s="10" t="s">
        <v>22</v>
      </c>
      <c r="G358" s="15">
        <v>1</v>
      </c>
      <c r="H358" s="11">
        <v>4663.3663999999999</v>
      </c>
      <c r="I358" s="12">
        <v>20</v>
      </c>
      <c r="J358" s="11">
        <v>3730.3146000000002</v>
      </c>
      <c r="K358" s="11">
        <v>2412.1186999999995</v>
      </c>
      <c r="L358" s="10" t="s">
        <v>17</v>
      </c>
      <c r="M358" s="5">
        <f t="shared" si="30"/>
        <v>2025</v>
      </c>
      <c r="N358" s="5">
        <f t="shared" si="31"/>
        <v>2</v>
      </c>
      <c r="O358" s="21">
        <f t="shared" si="32"/>
        <v>45689</v>
      </c>
      <c r="P358" s="13">
        <f t="shared" si="33"/>
        <v>0.64662607813292727</v>
      </c>
      <c r="Q358" s="5">
        <f t="shared" si="34"/>
        <v>202502</v>
      </c>
      <c r="R358" s="21">
        <f t="shared" si="35"/>
        <v>45689</v>
      </c>
    </row>
    <row r="359" spans="1:18" x14ac:dyDescent="0.25">
      <c r="A359" s="5" t="s">
        <v>739</v>
      </c>
      <c r="B359" s="14">
        <v>45873</v>
      </c>
      <c r="C359" s="5" t="s">
        <v>567</v>
      </c>
      <c r="D359" s="10" t="s">
        <v>20</v>
      </c>
      <c r="E359" s="10" t="s">
        <v>184</v>
      </c>
      <c r="F359" s="10" t="s">
        <v>49</v>
      </c>
      <c r="G359" s="15">
        <v>2</v>
      </c>
      <c r="H359" s="11">
        <v>2396.9778999999999</v>
      </c>
      <c r="I359" s="12">
        <v>10</v>
      </c>
      <c r="J359" s="11">
        <v>4314.1817000000001</v>
      </c>
      <c r="K359" s="11">
        <v>1984.3910999999998</v>
      </c>
      <c r="L359" s="10" t="s">
        <v>17</v>
      </c>
      <c r="M359" s="5">
        <f t="shared" si="30"/>
        <v>2025</v>
      </c>
      <c r="N359" s="5">
        <f t="shared" si="31"/>
        <v>8</v>
      </c>
      <c r="O359" s="21">
        <f t="shared" si="32"/>
        <v>45870</v>
      </c>
      <c r="P359" s="13">
        <f t="shared" si="33"/>
        <v>0.45996929151129629</v>
      </c>
      <c r="Q359" s="5">
        <f t="shared" si="34"/>
        <v>202508</v>
      </c>
      <c r="R359" s="21">
        <f t="shared" si="35"/>
        <v>45870</v>
      </c>
    </row>
    <row r="360" spans="1:18" x14ac:dyDescent="0.25">
      <c r="A360" s="5" t="s">
        <v>740</v>
      </c>
      <c r="B360" s="14">
        <v>45623</v>
      </c>
      <c r="C360" s="5" t="s">
        <v>741</v>
      </c>
      <c r="D360" s="10" t="s">
        <v>20</v>
      </c>
      <c r="E360" s="10" t="s">
        <v>118</v>
      </c>
      <c r="F360" s="10" t="s">
        <v>49</v>
      </c>
      <c r="G360" s="15">
        <v>1</v>
      </c>
      <c r="H360" s="11">
        <v>2031.7060999999999</v>
      </c>
      <c r="I360" s="12">
        <v>20</v>
      </c>
      <c r="J360" s="11">
        <v>1625.7433999999998</v>
      </c>
      <c r="K360" s="11">
        <v>868.70339999999999</v>
      </c>
      <c r="L360" s="10" t="s">
        <v>23</v>
      </c>
      <c r="M360" s="5">
        <f t="shared" si="30"/>
        <v>2024</v>
      </c>
      <c r="N360" s="5">
        <f t="shared" si="31"/>
        <v>11</v>
      </c>
      <c r="O360" s="21">
        <f t="shared" si="32"/>
        <v>45597</v>
      </c>
      <c r="P360" s="13">
        <f t="shared" si="33"/>
        <v>0.53434225844004657</v>
      </c>
      <c r="Q360" s="5">
        <f t="shared" si="34"/>
        <v>202411</v>
      </c>
      <c r="R360" s="21">
        <f t="shared" si="35"/>
        <v>45597</v>
      </c>
    </row>
    <row r="361" spans="1:18" x14ac:dyDescent="0.25">
      <c r="A361" s="5" t="s">
        <v>742</v>
      </c>
      <c r="B361" s="14">
        <v>45704</v>
      </c>
      <c r="C361" s="5" t="s">
        <v>743</v>
      </c>
      <c r="D361" s="10" t="s">
        <v>26</v>
      </c>
      <c r="E361" s="10" t="s">
        <v>177</v>
      </c>
      <c r="F361" s="10" t="s">
        <v>49</v>
      </c>
      <c r="G361" s="15">
        <v>1</v>
      </c>
      <c r="H361" s="11">
        <v>2126.3361</v>
      </c>
      <c r="I361" s="12">
        <v>10</v>
      </c>
      <c r="J361" s="11">
        <v>1913.4185999999997</v>
      </c>
      <c r="K361" s="11">
        <v>705.93979999999999</v>
      </c>
      <c r="L361" s="10" t="s">
        <v>23</v>
      </c>
      <c r="M361" s="5">
        <f t="shared" si="30"/>
        <v>2025</v>
      </c>
      <c r="N361" s="5">
        <f t="shared" si="31"/>
        <v>2</v>
      </c>
      <c r="O361" s="21">
        <f t="shared" si="32"/>
        <v>45689</v>
      </c>
      <c r="P361" s="13">
        <f t="shared" si="33"/>
        <v>0.36894164193867462</v>
      </c>
      <c r="Q361" s="5">
        <f t="shared" si="34"/>
        <v>202502</v>
      </c>
      <c r="R361" s="21">
        <f t="shared" si="35"/>
        <v>45689</v>
      </c>
    </row>
    <row r="362" spans="1:18" x14ac:dyDescent="0.25">
      <c r="A362" s="5" t="s">
        <v>744</v>
      </c>
      <c r="B362" s="14">
        <v>45321</v>
      </c>
      <c r="C362" s="5" t="s">
        <v>745</v>
      </c>
      <c r="D362" s="10" t="s">
        <v>37</v>
      </c>
      <c r="E362" s="10" t="s">
        <v>108</v>
      </c>
      <c r="F362" s="10" t="s">
        <v>75</v>
      </c>
      <c r="G362" s="15">
        <v>1</v>
      </c>
      <c r="H362" s="11">
        <v>4237.5313999999998</v>
      </c>
      <c r="I362" s="12">
        <v>20</v>
      </c>
      <c r="J362" s="11">
        <v>3389.6466</v>
      </c>
      <c r="K362" s="11">
        <v>804.35500000000002</v>
      </c>
      <c r="L362" s="10" t="s">
        <v>23</v>
      </c>
      <c r="M362" s="5">
        <f t="shared" si="30"/>
        <v>2024</v>
      </c>
      <c r="N362" s="5">
        <f t="shared" si="31"/>
        <v>1</v>
      </c>
      <c r="O362" s="21">
        <f t="shared" si="32"/>
        <v>45292</v>
      </c>
      <c r="P362" s="13">
        <f t="shared" si="33"/>
        <v>0.23729759910664433</v>
      </c>
      <c r="Q362" s="5">
        <f t="shared" si="34"/>
        <v>202401</v>
      </c>
      <c r="R362" s="21">
        <f t="shared" si="35"/>
        <v>45292</v>
      </c>
    </row>
    <row r="363" spans="1:18" x14ac:dyDescent="0.25">
      <c r="A363" s="5" t="s">
        <v>746</v>
      </c>
      <c r="B363" s="14">
        <v>45549</v>
      </c>
      <c r="C363" s="5" t="s">
        <v>653</v>
      </c>
      <c r="D363" s="10" t="s">
        <v>37</v>
      </c>
      <c r="E363" s="10" t="s">
        <v>94</v>
      </c>
      <c r="F363" s="10" t="s">
        <v>75</v>
      </c>
      <c r="G363" s="15">
        <v>1</v>
      </c>
      <c r="H363" s="11">
        <v>3678.2680999999998</v>
      </c>
      <c r="I363" s="12">
        <v>0</v>
      </c>
      <c r="J363" s="11">
        <v>3678.2680999999998</v>
      </c>
      <c r="K363" s="11">
        <v>795.8383</v>
      </c>
      <c r="L363" s="10" t="s">
        <v>34</v>
      </c>
      <c r="M363" s="5">
        <f t="shared" si="30"/>
        <v>2024</v>
      </c>
      <c r="N363" s="5">
        <f t="shared" si="31"/>
        <v>9</v>
      </c>
      <c r="O363" s="21">
        <f t="shared" si="32"/>
        <v>45536</v>
      </c>
      <c r="P363" s="13">
        <f t="shared" si="33"/>
        <v>0.21636223308464111</v>
      </c>
      <c r="Q363" s="5">
        <f t="shared" si="34"/>
        <v>202409</v>
      </c>
      <c r="R363" s="21">
        <f t="shared" si="35"/>
        <v>45536</v>
      </c>
    </row>
    <row r="364" spans="1:18" x14ac:dyDescent="0.25">
      <c r="A364" s="5" t="s">
        <v>747</v>
      </c>
      <c r="B364" s="14">
        <v>45737</v>
      </c>
      <c r="C364" s="5" t="s">
        <v>547</v>
      </c>
      <c r="D364" s="10" t="s">
        <v>26</v>
      </c>
      <c r="E364" s="10" t="s">
        <v>208</v>
      </c>
      <c r="F364" s="10" t="s">
        <v>22</v>
      </c>
      <c r="G364" s="15">
        <v>4</v>
      </c>
      <c r="H364" s="11">
        <v>3575.1214</v>
      </c>
      <c r="I364" s="12">
        <v>10</v>
      </c>
      <c r="J364" s="11">
        <v>12870.626299999998</v>
      </c>
      <c r="K364" s="11">
        <v>8123.9854999999989</v>
      </c>
      <c r="L364" s="10" t="s">
        <v>17</v>
      </c>
      <c r="M364" s="5">
        <f t="shared" si="30"/>
        <v>2025</v>
      </c>
      <c r="N364" s="5">
        <f t="shared" si="31"/>
        <v>3</v>
      </c>
      <c r="O364" s="21">
        <f t="shared" si="32"/>
        <v>45717</v>
      </c>
      <c r="P364" s="13">
        <f t="shared" si="33"/>
        <v>0.63120358797147269</v>
      </c>
      <c r="Q364" s="5">
        <f t="shared" si="34"/>
        <v>202503</v>
      </c>
      <c r="R364" s="21">
        <f t="shared" si="35"/>
        <v>45717</v>
      </c>
    </row>
    <row r="365" spans="1:18" x14ac:dyDescent="0.25">
      <c r="A365" s="5" t="s">
        <v>748</v>
      </c>
      <c r="B365" s="14">
        <v>45614</v>
      </c>
      <c r="C365" s="5" t="s">
        <v>749</v>
      </c>
      <c r="D365" s="10" t="s">
        <v>42</v>
      </c>
      <c r="E365" s="10" t="s">
        <v>43</v>
      </c>
      <c r="F365" s="10" t="s">
        <v>22</v>
      </c>
      <c r="G365" s="15">
        <v>1</v>
      </c>
      <c r="H365" s="11">
        <v>4092.7474999999999</v>
      </c>
      <c r="I365" s="12">
        <v>5</v>
      </c>
      <c r="J365" s="11">
        <v>3888.3467000000001</v>
      </c>
      <c r="K365" s="11">
        <v>1691.0381</v>
      </c>
      <c r="L365" s="10" t="s">
        <v>23</v>
      </c>
      <c r="M365" s="5">
        <f t="shared" si="30"/>
        <v>2024</v>
      </c>
      <c r="N365" s="5">
        <f t="shared" si="31"/>
        <v>11</v>
      </c>
      <c r="O365" s="21">
        <f t="shared" si="32"/>
        <v>45597</v>
      </c>
      <c r="P365" s="13">
        <f t="shared" si="33"/>
        <v>0.43489900219031391</v>
      </c>
      <c r="Q365" s="5">
        <f t="shared" si="34"/>
        <v>202411</v>
      </c>
      <c r="R365" s="21">
        <f t="shared" si="35"/>
        <v>45597</v>
      </c>
    </row>
    <row r="366" spans="1:18" x14ac:dyDescent="0.25">
      <c r="A366" s="5" t="s">
        <v>750</v>
      </c>
      <c r="B366" s="14">
        <v>45761</v>
      </c>
      <c r="C366" s="5" t="s">
        <v>751</v>
      </c>
      <c r="D366" s="10" t="s">
        <v>42</v>
      </c>
      <c r="E366" s="10" t="s">
        <v>232</v>
      </c>
      <c r="F366" s="10" t="s">
        <v>22</v>
      </c>
      <c r="G366" s="15">
        <v>2</v>
      </c>
      <c r="H366" s="11">
        <v>3042.3544999999999</v>
      </c>
      <c r="I366" s="12">
        <v>10</v>
      </c>
      <c r="J366" s="11">
        <v>5476.2380999999996</v>
      </c>
      <c r="K366" s="11">
        <v>2523.7820999999999</v>
      </c>
      <c r="L366" s="10" t="s">
        <v>17</v>
      </c>
      <c r="M366" s="5">
        <f t="shared" si="30"/>
        <v>2025</v>
      </c>
      <c r="N366" s="5">
        <f t="shared" si="31"/>
        <v>4</v>
      </c>
      <c r="O366" s="21">
        <f t="shared" si="32"/>
        <v>45748</v>
      </c>
      <c r="P366" s="13">
        <f t="shared" si="33"/>
        <v>0.46086054950751687</v>
      </c>
      <c r="Q366" s="5">
        <f t="shared" si="34"/>
        <v>202504</v>
      </c>
      <c r="R366" s="21">
        <f t="shared" si="35"/>
        <v>45748</v>
      </c>
    </row>
    <row r="367" spans="1:18" x14ac:dyDescent="0.25">
      <c r="A367" s="5" t="s">
        <v>752</v>
      </c>
      <c r="B367" s="14">
        <v>45679</v>
      </c>
      <c r="C367" s="5" t="s">
        <v>479</v>
      </c>
      <c r="D367" s="10" t="s">
        <v>20</v>
      </c>
      <c r="E367" s="10" t="s">
        <v>232</v>
      </c>
      <c r="F367" s="10" t="s">
        <v>22</v>
      </c>
      <c r="G367" s="15">
        <v>1</v>
      </c>
      <c r="H367" s="11">
        <v>4278.2222999999994</v>
      </c>
      <c r="I367" s="12">
        <v>10</v>
      </c>
      <c r="J367" s="11">
        <v>3850.4946999999997</v>
      </c>
      <c r="K367" s="11">
        <v>2333.5758000000001</v>
      </c>
      <c r="L367" s="10" t="s">
        <v>23</v>
      </c>
      <c r="M367" s="5">
        <f t="shared" si="30"/>
        <v>2025</v>
      </c>
      <c r="N367" s="5">
        <f t="shared" si="31"/>
        <v>1</v>
      </c>
      <c r="O367" s="21">
        <f t="shared" si="32"/>
        <v>45658</v>
      </c>
      <c r="P367" s="13">
        <f t="shared" si="33"/>
        <v>0.60604571147702146</v>
      </c>
      <c r="Q367" s="5">
        <f t="shared" si="34"/>
        <v>202501</v>
      </c>
      <c r="R367" s="21">
        <f t="shared" si="35"/>
        <v>45658</v>
      </c>
    </row>
    <row r="368" spans="1:18" x14ac:dyDescent="0.25">
      <c r="A368" s="5" t="s">
        <v>753</v>
      </c>
      <c r="B368" s="14">
        <v>45414</v>
      </c>
      <c r="C368" s="5" t="s">
        <v>754</v>
      </c>
      <c r="D368" s="10" t="s">
        <v>42</v>
      </c>
      <c r="E368" s="10" t="s">
        <v>15</v>
      </c>
      <c r="F368" s="10" t="s">
        <v>16</v>
      </c>
      <c r="G368" s="15">
        <v>4</v>
      </c>
      <c r="H368" s="11">
        <v>11192.8364</v>
      </c>
      <c r="I368" s="12">
        <v>5</v>
      </c>
      <c r="J368" s="11">
        <v>42532.399799999999</v>
      </c>
      <c r="K368" s="11">
        <v>4767.4593999999997</v>
      </c>
      <c r="L368" s="10" t="s">
        <v>23</v>
      </c>
      <c r="M368" s="5">
        <f t="shared" si="30"/>
        <v>2024</v>
      </c>
      <c r="N368" s="5">
        <f t="shared" si="31"/>
        <v>5</v>
      </c>
      <c r="O368" s="21">
        <f t="shared" si="32"/>
        <v>45413</v>
      </c>
      <c r="P368" s="13">
        <f t="shared" si="33"/>
        <v>0.11209006363191384</v>
      </c>
      <c r="Q368" s="5">
        <f t="shared" si="34"/>
        <v>202405</v>
      </c>
      <c r="R368" s="21">
        <f t="shared" si="35"/>
        <v>45413</v>
      </c>
    </row>
    <row r="369" spans="1:18" x14ac:dyDescent="0.25">
      <c r="A369" s="5" t="s">
        <v>755</v>
      </c>
      <c r="B369" s="14">
        <v>45853</v>
      </c>
      <c r="C369" s="5" t="s">
        <v>756</v>
      </c>
      <c r="D369" s="10" t="s">
        <v>20</v>
      </c>
      <c r="E369" s="10" t="s">
        <v>94</v>
      </c>
      <c r="F369" s="10" t="s">
        <v>75</v>
      </c>
      <c r="G369" s="15">
        <v>1</v>
      </c>
      <c r="H369" s="11">
        <v>2186.8993</v>
      </c>
      <c r="I369" s="12">
        <v>15</v>
      </c>
      <c r="J369" s="11">
        <v>1858.5331999999999</v>
      </c>
      <c r="K369" s="11">
        <v>560.20960000000002</v>
      </c>
      <c r="L369" s="10" t="s">
        <v>17</v>
      </c>
      <c r="M369" s="5">
        <f t="shared" si="30"/>
        <v>2025</v>
      </c>
      <c r="N369" s="5">
        <f t="shared" si="31"/>
        <v>7</v>
      </c>
      <c r="O369" s="21">
        <f t="shared" si="32"/>
        <v>45839</v>
      </c>
      <c r="P369" s="13">
        <f t="shared" si="33"/>
        <v>0.3014256619144603</v>
      </c>
      <c r="Q369" s="5">
        <f t="shared" si="34"/>
        <v>202507</v>
      </c>
      <c r="R369" s="21">
        <f t="shared" si="35"/>
        <v>45839</v>
      </c>
    </row>
    <row r="370" spans="1:18" x14ac:dyDescent="0.25">
      <c r="A370" s="5" t="s">
        <v>757</v>
      </c>
      <c r="B370" s="14">
        <v>45940</v>
      </c>
      <c r="C370" s="5" t="s">
        <v>758</v>
      </c>
      <c r="D370" s="10" t="s">
        <v>42</v>
      </c>
      <c r="E370" s="10" t="s">
        <v>314</v>
      </c>
      <c r="F370" s="10" t="s">
        <v>16</v>
      </c>
      <c r="G370" s="15">
        <v>2</v>
      </c>
      <c r="H370" s="11">
        <v>10644.928699999999</v>
      </c>
      <c r="I370" s="12">
        <v>0</v>
      </c>
      <c r="J370" s="11">
        <v>21289.857399999997</v>
      </c>
      <c r="K370" s="11">
        <v>1934.2372</v>
      </c>
      <c r="L370" s="10" t="s">
        <v>17</v>
      </c>
      <c r="M370" s="5">
        <f t="shared" si="30"/>
        <v>2025</v>
      </c>
      <c r="N370" s="5">
        <f t="shared" si="31"/>
        <v>10</v>
      </c>
      <c r="O370" s="21">
        <f t="shared" si="32"/>
        <v>45931</v>
      </c>
      <c r="P370" s="13">
        <f t="shared" si="33"/>
        <v>9.085252022401992E-2</v>
      </c>
      <c r="Q370" s="5">
        <f t="shared" si="34"/>
        <v>202510</v>
      </c>
      <c r="R370" s="21">
        <f t="shared" si="35"/>
        <v>45931</v>
      </c>
    </row>
    <row r="371" spans="1:18" x14ac:dyDescent="0.25">
      <c r="A371" s="5" t="s">
        <v>759</v>
      </c>
      <c r="B371" s="14">
        <v>45693</v>
      </c>
      <c r="C371" s="5" t="s">
        <v>252</v>
      </c>
      <c r="D371" s="10" t="s">
        <v>26</v>
      </c>
      <c r="E371" s="10" t="s">
        <v>136</v>
      </c>
      <c r="F371" s="10" t="s">
        <v>75</v>
      </c>
      <c r="G371" s="15">
        <v>2</v>
      </c>
      <c r="H371" s="11">
        <v>3997.1711999999998</v>
      </c>
      <c r="I371" s="12">
        <v>15</v>
      </c>
      <c r="J371" s="11">
        <v>6795.3802999999998</v>
      </c>
      <c r="K371" s="11">
        <v>2227.5901999999996</v>
      </c>
      <c r="L371" s="10" t="s">
        <v>17</v>
      </c>
      <c r="M371" s="5">
        <f t="shared" si="30"/>
        <v>2025</v>
      </c>
      <c r="N371" s="5">
        <f t="shared" si="31"/>
        <v>2</v>
      </c>
      <c r="O371" s="21">
        <f t="shared" si="32"/>
        <v>45689</v>
      </c>
      <c r="P371" s="13">
        <f t="shared" si="33"/>
        <v>0.32780949728450071</v>
      </c>
      <c r="Q371" s="5">
        <f t="shared" si="34"/>
        <v>202502</v>
      </c>
      <c r="R371" s="21">
        <f t="shared" si="35"/>
        <v>45689</v>
      </c>
    </row>
    <row r="372" spans="1:18" x14ac:dyDescent="0.25">
      <c r="A372" s="5" t="s">
        <v>760</v>
      </c>
      <c r="B372" s="14">
        <v>45681</v>
      </c>
      <c r="C372" s="5" t="s">
        <v>761</v>
      </c>
      <c r="D372" s="10" t="s">
        <v>14</v>
      </c>
      <c r="E372" s="10" t="s">
        <v>502</v>
      </c>
      <c r="F372" s="10" t="s">
        <v>22</v>
      </c>
      <c r="G372" s="15">
        <v>1</v>
      </c>
      <c r="H372" s="11">
        <v>4705.0036</v>
      </c>
      <c r="I372" s="12">
        <v>10</v>
      </c>
      <c r="J372" s="11">
        <v>4234.6925000000001</v>
      </c>
      <c r="K372" s="11">
        <v>1728.8900999999998</v>
      </c>
      <c r="L372" s="10" t="s">
        <v>17</v>
      </c>
      <c r="M372" s="5">
        <f t="shared" si="30"/>
        <v>2025</v>
      </c>
      <c r="N372" s="5">
        <f t="shared" si="31"/>
        <v>1</v>
      </c>
      <c r="O372" s="21">
        <f t="shared" si="32"/>
        <v>45658</v>
      </c>
      <c r="P372" s="13">
        <f t="shared" si="33"/>
        <v>0.40826815642458097</v>
      </c>
      <c r="Q372" s="5">
        <f t="shared" si="34"/>
        <v>202501</v>
      </c>
      <c r="R372" s="21">
        <f t="shared" si="35"/>
        <v>45658</v>
      </c>
    </row>
    <row r="373" spans="1:18" x14ac:dyDescent="0.25">
      <c r="A373" s="5" t="s">
        <v>762</v>
      </c>
      <c r="B373" s="14">
        <v>45429</v>
      </c>
      <c r="C373" s="5" t="s">
        <v>741</v>
      </c>
      <c r="D373" s="10" t="s">
        <v>42</v>
      </c>
      <c r="E373" s="10" t="s">
        <v>69</v>
      </c>
      <c r="F373" s="10" t="s">
        <v>39</v>
      </c>
      <c r="G373" s="15">
        <v>3</v>
      </c>
      <c r="H373" s="11">
        <v>3897.8096999999998</v>
      </c>
      <c r="I373" s="12">
        <v>5</v>
      </c>
      <c r="J373" s="11">
        <v>11108.6157</v>
      </c>
      <c r="K373" s="11">
        <v>4218.6053999999995</v>
      </c>
      <c r="L373" s="10" t="s">
        <v>17</v>
      </c>
      <c r="M373" s="5">
        <f t="shared" si="30"/>
        <v>2024</v>
      </c>
      <c r="N373" s="5">
        <f t="shared" si="31"/>
        <v>5</v>
      </c>
      <c r="O373" s="21">
        <f t="shared" si="32"/>
        <v>45413</v>
      </c>
      <c r="P373" s="13">
        <f t="shared" si="33"/>
        <v>0.37975977510861225</v>
      </c>
      <c r="Q373" s="5">
        <f t="shared" si="34"/>
        <v>202405</v>
      </c>
      <c r="R373" s="21">
        <f t="shared" si="35"/>
        <v>45413</v>
      </c>
    </row>
    <row r="374" spans="1:18" x14ac:dyDescent="0.25">
      <c r="A374" s="5" t="s">
        <v>763</v>
      </c>
      <c r="B374" s="14">
        <v>45363</v>
      </c>
      <c r="C374" s="5" t="s">
        <v>764</v>
      </c>
      <c r="D374" s="10" t="s">
        <v>14</v>
      </c>
      <c r="E374" s="10" t="s">
        <v>136</v>
      </c>
      <c r="F374" s="10" t="s">
        <v>75</v>
      </c>
      <c r="G374" s="15">
        <v>4</v>
      </c>
      <c r="H374" s="11">
        <v>1407.1480999999999</v>
      </c>
      <c r="I374" s="12">
        <v>0</v>
      </c>
      <c r="J374" s="11">
        <v>5628.5923999999995</v>
      </c>
      <c r="K374" s="11">
        <v>1773.3661999999997</v>
      </c>
      <c r="L374" s="10" t="s">
        <v>17</v>
      </c>
      <c r="M374" s="5">
        <f t="shared" si="30"/>
        <v>2024</v>
      </c>
      <c r="N374" s="5">
        <f t="shared" si="31"/>
        <v>3</v>
      </c>
      <c r="O374" s="21">
        <f t="shared" si="32"/>
        <v>45352</v>
      </c>
      <c r="P374" s="13">
        <f t="shared" si="33"/>
        <v>0.31506388702084731</v>
      </c>
      <c r="Q374" s="5">
        <f t="shared" si="34"/>
        <v>202403</v>
      </c>
      <c r="R374" s="21">
        <f t="shared" si="35"/>
        <v>45352</v>
      </c>
    </row>
    <row r="375" spans="1:18" x14ac:dyDescent="0.25">
      <c r="A375" s="5" t="s">
        <v>765</v>
      </c>
      <c r="B375" s="14">
        <v>45658</v>
      </c>
      <c r="C375" s="5" t="s">
        <v>766</v>
      </c>
      <c r="D375" s="10" t="s">
        <v>37</v>
      </c>
      <c r="E375" s="10" t="s">
        <v>187</v>
      </c>
      <c r="F375" s="10" t="s">
        <v>75</v>
      </c>
      <c r="G375" s="15">
        <v>2</v>
      </c>
      <c r="H375" s="11">
        <v>4851.6801000000005</v>
      </c>
      <c r="I375" s="12">
        <v>10</v>
      </c>
      <c r="J375" s="11">
        <v>8733.4027000000006</v>
      </c>
      <c r="K375" s="11">
        <v>2465.1115</v>
      </c>
      <c r="L375" s="10" t="s">
        <v>17</v>
      </c>
      <c r="M375" s="5">
        <f t="shared" si="30"/>
        <v>2025</v>
      </c>
      <c r="N375" s="5">
        <f t="shared" si="31"/>
        <v>1</v>
      </c>
      <c r="O375" s="21">
        <f t="shared" si="32"/>
        <v>45658</v>
      </c>
      <c r="P375" s="13">
        <f t="shared" si="33"/>
        <v>0.28226243363311299</v>
      </c>
      <c r="Q375" s="5">
        <f t="shared" si="34"/>
        <v>202501</v>
      </c>
      <c r="R375" s="21">
        <f t="shared" si="35"/>
        <v>45658</v>
      </c>
    </row>
    <row r="376" spans="1:18" x14ac:dyDescent="0.25">
      <c r="A376" s="5" t="s">
        <v>767</v>
      </c>
      <c r="B376" s="14">
        <v>45511</v>
      </c>
      <c r="C376" s="5" t="s">
        <v>768</v>
      </c>
      <c r="D376" s="10" t="s">
        <v>14</v>
      </c>
      <c r="E376" s="10" t="s">
        <v>94</v>
      </c>
      <c r="F376" s="10" t="s">
        <v>75</v>
      </c>
      <c r="G376" s="15">
        <v>4</v>
      </c>
      <c r="H376" s="11">
        <v>1136.5063</v>
      </c>
      <c r="I376" s="12">
        <v>0</v>
      </c>
      <c r="J376" s="11">
        <v>4546.0252</v>
      </c>
      <c r="K376" s="11">
        <v>1042.8226</v>
      </c>
      <c r="L376" s="10" t="s">
        <v>17</v>
      </c>
      <c r="M376" s="5">
        <f t="shared" si="30"/>
        <v>2024</v>
      </c>
      <c r="N376" s="5">
        <f t="shared" si="31"/>
        <v>8</v>
      </c>
      <c r="O376" s="21">
        <f t="shared" si="32"/>
        <v>45505</v>
      </c>
      <c r="P376" s="13">
        <f t="shared" si="33"/>
        <v>0.22939217318900915</v>
      </c>
      <c r="Q376" s="5">
        <f t="shared" si="34"/>
        <v>202408</v>
      </c>
      <c r="R376" s="21">
        <f t="shared" si="35"/>
        <v>45505</v>
      </c>
    </row>
    <row r="377" spans="1:18" x14ac:dyDescent="0.25">
      <c r="A377" s="5" t="s">
        <v>769</v>
      </c>
      <c r="B377" s="14">
        <v>45968</v>
      </c>
      <c r="C377" s="5" t="s">
        <v>770</v>
      </c>
      <c r="D377" s="10" t="s">
        <v>14</v>
      </c>
      <c r="E377" s="10" t="s">
        <v>55</v>
      </c>
      <c r="F377" s="10" t="s">
        <v>16</v>
      </c>
      <c r="G377" s="15">
        <v>4</v>
      </c>
      <c r="H377" s="11">
        <v>4274.4371000000001</v>
      </c>
      <c r="I377" s="12">
        <v>20</v>
      </c>
      <c r="J377" s="11">
        <v>13677.820199999998</v>
      </c>
      <c r="K377" s="11">
        <v>3338.5463999999997</v>
      </c>
      <c r="L377" s="10" t="s">
        <v>23</v>
      </c>
      <c r="M377" s="5">
        <f t="shared" si="30"/>
        <v>2025</v>
      </c>
      <c r="N377" s="5">
        <f t="shared" si="31"/>
        <v>11</v>
      </c>
      <c r="O377" s="21">
        <f t="shared" si="32"/>
        <v>45962</v>
      </c>
      <c r="P377" s="13">
        <f t="shared" si="33"/>
        <v>0.24408468244084683</v>
      </c>
      <c r="Q377" s="5">
        <f t="shared" si="34"/>
        <v>202511</v>
      </c>
      <c r="R377" s="21">
        <f t="shared" si="35"/>
        <v>45962</v>
      </c>
    </row>
    <row r="378" spans="1:18" x14ac:dyDescent="0.25">
      <c r="A378" s="5" t="s">
        <v>771</v>
      </c>
      <c r="B378" s="14">
        <v>46007</v>
      </c>
      <c r="C378" s="5" t="s">
        <v>770</v>
      </c>
      <c r="D378" s="10" t="s">
        <v>26</v>
      </c>
      <c r="E378" s="10" t="s">
        <v>502</v>
      </c>
      <c r="F378" s="10" t="s">
        <v>22</v>
      </c>
      <c r="G378" s="15">
        <v>1</v>
      </c>
      <c r="H378" s="11">
        <v>678.49709999999993</v>
      </c>
      <c r="I378" s="12">
        <v>5</v>
      </c>
      <c r="J378" s="11">
        <v>644.43029999999999</v>
      </c>
      <c r="K378" s="11">
        <v>264.01769999999999</v>
      </c>
      <c r="L378" s="10" t="s">
        <v>23</v>
      </c>
      <c r="M378" s="5">
        <f t="shared" si="30"/>
        <v>2025</v>
      </c>
      <c r="N378" s="5">
        <f t="shared" si="31"/>
        <v>12</v>
      </c>
      <c r="O378" s="21">
        <f t="shared" si="32"/>
        <v>45992</v>
      </c>
      <c r="P378" s="13">
        <f t="shared" si="33"/>
        <v>0.40969162995594716</v>
      </c>
      <c r="Q378" s="5">
        <f t="shared" si="34"/>
        <v>202512</v>
      </c>
      <c r="R378" s="21">
        <f t="shared" si="35"/>
        <v>45992</v>
      </c>
    </row>
    <row r="379" spans="1:18" x14ac:dyDescent="0.25">
      <c r="A379" s="5" t="s">
        <v>772</v>
      </c>
      <c r="B379" s="14">
        <v>45442</v>
      </c>
      <c r="C379" s="5" t="s">
        <v>773</v>
      </c>
      <c r="D379" s="10" t="s">
        <v>42</v>
      </c>
      <c r="E379" s="10" t="s">
        <v>80</v>
      </c>
      <c r="F379" s="10" t="s">
        <v>16</v>
      </c>
      <c r="G379" s="15">
        <v>5</v>
      </c>
      <c r="H379" s="11">
        <v>6541.7718999999988</v>
      </c>
      <c r="I379" s="12">
        <v>10</v>
      </c>
      <c r="J379" s="11">
        <v>29437.500399999997</v>
      </c>
      <c r="K379" s="11">
        <v>2498.232</v>
      </c>
      <c r="L379" s="10" t="s">
        <v>23</v>
      </c>
      <c r="M379" s="5">
        <f t="shared" si="30"/>
        <v>2024</v>
      </c>
      <c r="N379" s="5">
        <f t="shared" si="31"/>
        <v>5</v>
      </c>
      <c r="O379" s="21">
        <f t="shared" si="32"/>
        <v>45413</v>
      </c>
      <c r="P379" s="13">
        <f t="shared" si="33"/>
        <v>8.4865629420084868E-2</v>
      </c>
      <c r="Q379" s="5">
        <f t="shared" si="34"/>
        <v>202405</v>
      </c>
      <c r="R379" s="21">
        <f t="shared" si="35"/>
        <v>45413</v>
      </c>
    </row>
    <row r="380" spans="1:18" x14ac:dyDescent="0.25">
      <c r="A380" s="5" t="s">
        <v>774</v>
      </c>
      <c r="B380" s="14">
        <v>45920</v>
      </c>
      <c r="C380" s="5" t="s">
        <v>775</v>
      </c>
      <c r="D380" s="10" t="s">
        <v>37</v>
      </c>
      <c r="E380" s="10" t="s">
        <v>43</v>
      </c>
      <c r="F380" s="10" t="s">
        <v>22</v>
      </c>
      <c r="G380" s="15">
        <v>1</v>
      </c>
      <c r="H380" s="11">
        <v>2494.4467999999997</v>
      </c>
      <c r="I380" s="12">
        <v>5</v>
      </c>
      <c r="J380" s="11">
        <v>2369.5351999999998</v>
      </c>
      <c r="K380" s="11">
        <v>1350.3700999999999</v>
      </c>
      <c r="L380" s="10" t="s">
        <v>23</v>
      </c>
      <c r="M380" s="5">
        <f t="shared" si="30"/>
        <v>2025</v>
      </c>
      <c r="N380" s="5">
        <f t="shared" si="31"/>
        <v>9</v>
      </c>
      <c r="O380" s="21">
        <f t="shared" si="32"/>
        <v>45901</v>
      </c>
      <c r="P380" s="13">
        <f t="shared" si="33"/>
        <v>0.569888178913738</v>
      </c>
      <c r="Q380" s="5">
        <f t="shared" si="34"/>
        <v>202509</v>
      </c>
      <c r="R380" s="21">
        <f t="shared" si="35"/>
        <v>45901</v>
      </c>
    </row>
    <row r="381" spans="1:18" x14ac:dyDescent="0.25">
      <c r="A381" s="5" t="s">
        <v>776</v>
      </c>
      <c r="B381" s="14">
        <v>45701</v>
      </c>
      <c r="C381" s="5" t="s">
        <v>777</v>
      </c>
      <c r="D381" s="10" t="s">
        <v>20</v>
      </c>
      <c r="E381" s="10" t="s">
        <v>133</v>
      </c>
      <c r="F381" s="10" t="s">
        <v>75</v>
      </c>
      <c r="G381" s="15">
        <v>4</v>
      </c>
      <c r="H381" s="11">
        <v>1514.08</v>
      </c>
      <c r="I381" s="12">
        <v>0</v>
      </c>
      <c r="J381" s="11">
        <v>6056.32</v>
      </c>
      <c r="K381" s="11">
        <v>1311.5717999999999</v>
      </c>
      <c r="L381" s="10" t="s">
        <v>23</v>
      </c>
      <c r="M381" s="5">
        <f t="shared" si="30"/>
        <v>2025</v>
      </c>
      <c r="N381" s="5">
        <f t="shared" si="31"/>
        <v>2</v>
      </c>
      <c r="O381" s="21">
        <f t="shared" si="32"/>
        <v>45689</v>
      </c>
      <c r="P381" s="13">
        <f t="shared" si="33"/>
        <v>0.21656249999999999</v>
      </c>
      <c r="Q381" s="5">
        <f t="shared" si="34"/>
        <v>202502</v>
      </c>
      <c r="R381" s="21">
        <f t="shared" si="35"/>
        <v>45689</v>
      </c>
    </row>
    <row r="382" spans="1:18" x14ac:dyDescent="0.25">
      <c r="A382" s="5" t="s">
        <v>778</v>
      </c>
      <c r="B382" s="14">
        <v>45595</v>
      </c>
      <c r="C382" s="5" t="s">
        <v>779</v>
      </c>
      <c r="D382" s="10" t="s">
        <v>20</v>
      </c>
      <c r="E382" s="10" t="s">
        <v>43</v>
      </c>
      <c r="F382" s="10" t="s">
        <v>22</v>
      </c>
      <c r="G382" s="15">
        <v>1</v>
      </c>
      <c r="H382" s="11">
        <v>3349.9019999999996</v>
      </c>
      <c r="I382" s="12">
        <v>10</v>
      </c>
      <c r="J382" s="11">
        <v>3014.9117999999999</v>
      </c>
      <c r="K382" s="11">
        <v>1419.4499999999998</v>
      </c>
      <c r="L382" s="10" t="s">
        <v>23</v>
      </c>
      <c r="M382" s="5">
        <f t="shared" si="30"/>
        <v>2024</v>
      </c>
      <c r="N382" s="5">
        <f t="shared" si="31"/>
        <v>10</v>
      </c>
      <c r="O382" s="21">
        <f t="shared" si="32"/>
        <v>45566</v>
      </c>
      <c r="P382" s="13">
        <f t="shared" si="33"/>
        <v>0.47080979284369112</v>
      </c>
      <c r="Q382" s="5">
        <f t="shared" si="34"/>
        <v>202410</v>
      </c>
      <c r="R382" s="21">
        <f t="shared" si="35"/>
        <v>45566</v>
      </c>
    </row>
    <row r="383" spans="1:18" x14ac:dyDescent="0.25">
      <c r="A383" s="5" t="s">
        <v>780</v>
      </c>
      <c r="B383" s="14">
        <v>45896</v>
      </c>
      <c r="C383" s="5" t="s">
        <v>781</v>
      </c>
      <c r="D383" s="10" t="s">
        <v>37</v>
      </c>
      <c r="E383" s="10" t="s">
        <v>187</v>
      </c>
      <c r="F383" s="10" t="s">
        <v>75</v>
      </c>
      <c r="G383" s="15">
        <v>1</v>
      </c>
      <c r="H383" s="11">
        <v>815.71059999999989</v>
      </c>
      <c r="I383" s="12">
        <v>5</v>
      </c>
      <c r="J383" s="11">
        <v>775.01969999999994</v>
      </c>
      <c r="K383" s="11">
        <v>181.68959999999998</v>
      </c>
      <c r="L383" s="10" t="s">
        <v>23</v>
      </c>
      <c r="M383" s="5">
        <f t="shared" si="30"/>
        <v>2025</v>
      </c>
      <c r="N383" s="5">
        <f t="shared" si="31"/>
        <v>8</v>
      </c>
      <c r="O383" s="21">
        <f t="shared" si="32"/>
        <v>45870</v>
      </c>
      <c r="P383" s="13">
        <f t="shared" si="33"/>
        <v>0.23443223443223443</v>
      </c>
      <c r="Q383" s="5">
        <f t="shared" si="34"/>
        <v>202508</v>
      </c>
      <c r="R383" s="21">
        <f t="shared" si="35"/>
        <v>45870</v>
      </c>
    </row>
    <row r="384" spans="1:18" x14ac:dyDescent="0.25">
      <c r="A384" s="5" t="s">
        <v>782</v>
      </c>
      <c r="B384" s="14">
        <v>45969</v>
      </c>
      <c r="C384" s="5" t="s">
        <v>783</v>
      </c>
      <c r="D384" s="10" t="s">
        <v>20</v>
      </c>
      <c r="E384" s="10" t="s">
        <v>133</v>
      </c>
      <c r="F384" s="10" t="s">
        <v>75</v>
      </c>
      <c r="G384" s="15">
        <v>1</v>
      </c>
      <c r="H384" s="11">
        <v>4152.3644000000004</v>
      </c>
      <c r="I384" s="12">
        <v>0</v>
      </c>
      <c r="J384" s="11">
        <v>4152.3644000000004</v>
      </c>
      <c r="K384" s="11">
        <v>1039.0373999999999</v>
      </c>
      <c r="L384" s="10" t="s">
        <v>17</v>
      </c>
      <c r="M384" s="5">
        <f t="shared" si="30"/>
        <v>2025</v>
      </c>
      <c r="N384" s="5">
        <f t="shared" si="31"/>
        <v>11</v>
      </c>
      <c r="O384" s="21">
        <f t="shared" si="32"/>
        <v>45962</v>
      </c>
      <c r="P384" s="13">
        <f t="shared" si="33"/>
        <v>0.25022789425706471</v>
      </c>
      <c r="Q384" s="5">
        <f t="shared" si="34"/>
        <v>202511</v>
      </c>
      <c r="R384" s="21">
        <f t="shared" si="35"/>
        <v>45962</v>
      </c>
    </row>
    <row r="385" spans="1:18" x14ac:dyDescent="0.25">
      <c r="A385" s="5" t="s">
        <v>784</v>
      </c>
      <c r="B385" s="14">
        <v>45608</v>
      </c>
      <c r="C385" s="5" t="s">
        <v>758</v>
      </c>
      <c r="D385" s="10" t="s">
        <v>37</v>
      </c>
      <c r="E385" s="10" t="s">
        <v>58</v>
      </c>
      <c r="F385" s="10" t="s">
        <v>49</v>
      </c>
      <c r="G385" s="15">
        <v>1</v>
      </c>
      <c r="H385" s="11">
        <v>4674.7219999999998</v>
      </c>
      <c r="I385" s="12">
        <v>15</v>
      </c>
      <c r="J385" s="11">
        <v>3973.5137</v>
      </c>
      <c r="K385" s="11">
        <v>1551.9319999999998</v>
      </c>
      <c r="L385" s="10" t="s">
        <v>34</v>
      </c>
      <c r="M385" s="5">
        <f t="shared" si="30"/>
        <v>2024</v>
      </c>
      <c r="N385" s="5">
        <f t="shared" si="31"/>
        <v>11</v>
      </c>
      <c r="O385" s="21">
        <f t="shared" si="32"/>
        <v>45597</v>
      </c>
      <c r="P385" s="13">
        <f t="shared" si="33"/>
        <v>0.39056918313884254</v>
      </c>
      <c r="Q385" s="5">
        <f t="shared" si="34"/>
        <v>202411</v>
      </c>
      <c r="R385" s="21">
        <f t="shared" si="35"/>
        <v>45597</v>
      </c>
    </row>
    <row r="386" spans="1:18" x14ac:dyDescent="0.25">
      <c r="A386" s="5" t="s">
        <v>785</v>
      </c>
      <c r="B386" s="14">
        <v>45387</v>
      </c>
      <c r="C386" s="5" t="s">
        <v>786</v>
      </c>
      <c r="D386" s="10" t="s">
        <v>14</v>
      </c>
      <c r="E386" s="10" t="s">
        <v>151</v>
      </c>
      <c r="F386" s="10" t="s">
        <v>39</v>
      </c>
      <c r="G386" s="15">
        <v>3</v>
      </c>
      <c r="H386" s="11">
        <v>1198.9621</v>
      </c>
      <c r="I386" s="12">
        <v>10</v>
      </c>
      <c r="J386" s="11">
        <v>3237.2923000000001</v>
      </c>
      <c r="K386" s="11">
        <v>915.07209999999998</v>
      </c>
      <c r="L386" s="10" t="s">
        <v>23</v>
      </c>
      <c r="M386" s="5">
        <f t="shared" ref="M386:M449" si="36">YEAR(B386)</f>
        <v>2024</v>
      </c>
      <c r="N386" s="5">
        <f t="shared" ref="N386:N449" si="37">MONTH(B386)</f>
        <v>4</v>
      </c>
      <c r="O386" s="21">
        <f t="shared" ref="O386:O449" si="38">DATE(YEAR(B386),MONTH(B386),1)</f>
        <v>45383</v>
      </c>
      <c r="P386" s="13">
        <f t="shared" ref="P386:P449" si="39">(K386/J386)</f>
        <v>0.28266588716749486</v>
      </c>
      <c r="Q386" s="5">
        <f t="shared" ref="Q386:Q449" si="40">YEAR(B386)*100+MONTH(B386)</f>
        <v>202404</v>
      </c>
      <c r="R386" s="21">
        <f t="shared" ref="R386:R449" si="41">DATE(YEAR(B386),MONTH(B386),1)</f>
        <v>45383</v>
      </c>
    </row>
    <row r="387" spans="1:18" x14ac:dyDescent="0.25">
      <c r="A387" s="5" t="s">
        <v>787</v>
      </c>
      <c r="B387" s="14">
        <v>45410</v>
      </c>
      <c r="C387" s="5" t="s">
        <v>788</v>
      </c>
      <c r="D387" s="10" t="s">
        <v>20</v>
      </c>
      <c r="E387" s="10" t="s">
        <v>222</v>
      </c>
      <c r="F387" s="10" t="s">
        <v>22</v>
      </c>
      <c r="G387" s="15">
        <v>2</v>
      </c>
      <c r="H387" s="11">
        <v>3869.4206999999997</v>
      </c>
      <c r="I387" s="12">
        <v>5</v>
      </c>
      <c r="J387" s="11">
        <v>7351.8046999999997</v>
      </c>
      <c r="K387" s="11">
        <v>3440.7467999999999</v>
      </c>
      <c r="L387" s="10" t="s">
        <v>17</v>
      </c>
      <c r="M387" s="5">
        <f t="shared" si="36"/>
        <v>2024</v>
      </c>
      <c r="N387" s="5">
        <f t="shared" si="37"/>
        <v>4</v>
      </c>
      <c r="O387" s="21">
        <f t="shared" si="38"/>
        <v>45383</v>
      </c>
      <c r="P387" s="13">
        <f t="shared" si="39"/>
        <v>0.46801390140301197</v>
      </c>
      <c r="Q387" s="5">
        <f t="shared" si="40"/>
        <v>202404</v>
      </c>
      <c r="R387" s="21">
        <f t="shared" si="41"/>
        <v>45383</v>
      </c>
    </row>
    <row r="388" spans="1:18" x14ac:dyDescent="0.25">
      <c r="A388" s="5" t="s">
        <v>789</v>
      </c>
      <c r="B388" s="14">
        <v>45660</v>
      </c>
      <c r="C388" s="5" t="s">
        <v>577</v>
      </c>
      <c r="D388" s="10" t="s">
        <v>14</v>
      </c>
      <c r="E388" s="10" t="s">
        <v>502</v>
      </c>
      <c r="F388" s="10" t="s">
        <v>22</v>
      </c>
      <c r="G388" s="15">
        <v>2</v>
      </c>
      <c r="H388" s="11">
        <v>4089.9085999999998</v>
      </c>
      <c r="I388" s="12">
        <v>0</v>
      </c>
      <c r="J388" s="11">
        <v>8179.8171999999995</v>
      </c>
      <c r="K388" s="11">
        <v>4253.6185000000005</v>
      </c>
      <c r="L388" s="10" t="s">
        <v>17</v>
      </c>
      <c r="M388" s="5">
        <f t="shared" si="36"/>
        <v>2025</v>
      </c>
      <c r="N388" s="5">
        <f t="shared" si="37"/>
        <v>1</v>
      </c>
      <c r="O388" s="21">
        <f t="shared" si="38"/>
        <v>45658</v>
      </c>
      <c r="P388" s="13">
        <f t="shared" si="39"/>
        <v>0.52001388246182334</v>
      </c>
      <c r="Q388" s="5">
        <f t="shared" si="40"/>
        <v>202501</v>
      </c>
      <c r="R388" s="21">
        <f t="shared" si="41"/>
        <v>45658</v>
      </c>
    </row>
    <row r="389" spans="1:18" x14ac:dyDescent="0.25">
      <c r="A389" s="5" t="s">
        <v>790</v>
      </c>
      <c r="B389" s="14">
        <v>45655</v>
      </c>
      <c r="C389" s="5" t="s">
        <v>791</v>
      </c>
      <c r="D389" s="10" t="s">
        <v>14</v>
      </c>
      <c r="E389" s="10" t="s">
        <v>269</v>
      </c>
      <c r="F389" s="10" t="s">
        <v>75</v>
      </c>
      <c r="G389" s="15">
        <v>2</v>
      </c>
      <c r="H389" s="11">
        <v>5650.3572999999997</v>
      </c>
      <c r="I389" s="12">
        <v>5</v>
      </c>
      <c r="J389" s="11">
        <v>10735.773499999999</v>
      </c>
      <c r="K389" s="11">
        <v>3629.0605</v>
      </c>
      <c r="L389" s="10" t="s">
        <v>17</v>
      </c>
      <c r="M389" s="5">
        <f t="shared" si="36"/>
        <v>2024</v>
      </c>
      <c r="N389" s="5">
        <f t="shared" si="37"/>
        <v>12</v>
      </c>
      <c r="O389" s="21">
        <f t="shared" si="38"/>
        <v>45627</v>
      </c>
      <c r="P389" s="13">
        <f t="shared" si="39"/>
        <v>0.33803437637725875</v>
      </c>
      <c r="Q389" s="5">
        <f t="shared" si="40"/>
        <v>202412</v>
      </c>
      <c r="R389" s="21">
        <f t="shared" si="41"/>
        <v>45627</v>
      </c>
    </row>
    <row r="390" spans="1:18" x14ac:dyDescent="0.25">
      <c r="A390" s="5" t="s">
        <v>792</v>
      </c>
      <c r="B390" s="14">
        <v>45866</v>
      </c>
      <c r="C390" s="5" t="s">
        <v>793</v>
      </c>
      <c r="D390" s="10" t="s">
        <v>37</v>
      </c>
      <c r="E390" s="10" t="s">
        <v>269</v>
      </c>
      <c r="F390" s="10" t="s">
        <v>75</v>
      </c>
      <c r="G390" s="15">
        <v>1</v>
      </c>
      <c r="H390" s="11">
        <v>2538.9228999999996</v>
      </c>
      <c r="I390" s="12">
        <v>5</v>
      </c>
      <c r="J390" s="11">
        <v>2412.1186999999995</v>
      </c>
      <c r="K390" s="11">
        <v>416.37200000000001</v>
      </c>
      <c r="L390" s="10" t="s">
        <v>34</v>
      </c>
      <c r="M390" s="5">
        <f t="shared" si="36"/>
        <v>2025</v>
      </c>
      <c r="N390" s="5">
        <f t="shared" si="37"/>
        <v>7</v>
      </c>
      <c r="O390" s="21">
        <f t="shared" si="38"/>
        <v>45839</v>
      </c>
      <c r="P390" s="13">
        <f t="shared" si="39"/>
        <v>0.17261671243624954</v>
      </c>
      <c r="Q390" s="5">
        <f t="shared" si="40"/>
        <v>202507</v>
      </c>
      <c r="R390" s="21">
        <f t="shared" si="41"/>
        <v>45839</v>
      </c>
    </row>
    <row r="391" spans="1:18" x14ac:dyDescent="0.25">
      <c r="A391" s="5" t="s">
        <v>794</v>
      </c>
      <c r="B391" s="14">
        <v>45570</v>
      </c>
      <c r="C391" s="5" t="s">
        <v>795</v>
      </c>
      <c r="D391" s="10" t="s">
        <v>37</v>
      </c>
      <c r="E391" s="10" t="s">
        <v>177</v>
      </c>
      <c r="F391" s="10" t="s">
        <v>49</v>
      </c>
      <c r="G391" s="15">
        <v>4</v>
      </c>
      <c r="H391" s="11">
        <v>2035.4913000000001</v>
      </c>
      <c r="I391" s="12">
        <v>20</v>
      </c>
      <c r="J391" s="11">
        <v>6513.3828999999996</v>
      </c>
      <c r="K391" s="11">
        <v>2921.2280999999998</v>
      </c>
      <c r="L391" s="10" t="s">
        <v>23</v>
      </c>
      <c r="M391" s="5">
        <f t="shared" si="36"/>
        <v>2024</v>
      </c>
      <c r="N391" s="5">
        <f t="shared" si="37"/>
        <v>10</v>
      </c>
      <c r="O391" s="21">
        <f t="shared" si="38"/>
        <v>45566</v>
      </c>
      <c r="P391" s="13">
        <f t="shared" si="39"/>
        <v>0.44849629522010753</v>
      </c>
      <c r="Q391" s="5">
        <f t="shared" si="40"/>
        <v>202410</v>
      </c>
      <c r="R391" s="21">
        <f t="shared" si="41"/>
        <v>45566</v>
      </c>
    </row>
    <row r="392" spans="1:18" x14ac:dyDescent="0.25">
      <c r="A392" s="5" t="s">
        <v>796</v>
      </c>
      <c r="B392" s="14">
        <v>45790</v>
      </c>
      <c r="C392" s="5" t="s">
        <v>797</v>
      </c>
      <c r="D392" s="10" t="s">
        <v>37</v>
      </c>
      <c r="E392" s="10" t="s">
        <v>30</v>
      </c>
      <c r="F392" s="10" t="s">
        <v>16</v>
      </c>
      <c r="G392" s="15">
        <v>2</v>
      </c>
      <c r="H392" s="11">
        <v>11903.5077</v>
      </c>
      <c r="I392" s="12">
        <v>10</v>
      </c>
      <c r="J392" s="11">
        <v>21426.124599999999</v>
      </c>
      <c r="K392" s="11">
        <v>4216.7128000000002</v>
      </c>
      <c r="L392" s="10" t="s">
        <v>17</v>
      </c>
      <c r="M392" s="5">
        <f t="shared" si="36"/>
        <v>2025</v>
      </c>
      <c r="N392" s="5">
        <f t="shared" si="37"/>
        <v>5</v>
      </c>
      <c r="O392" s="21">
        <f t="shared" si="38"/>
        <v>45778</v>
      </c>
      <c r="P392" s="13">
        <f t="shared" si="39"/>
        <v>0.19680240261461004</v>
      </c>
      <c r="Q392" s="5">
        <f t="shared" si="40"/>
        <v>202505</v>
      </c>
      <c r="R392" s="21">
        <f t="shared" si="41"/>
        <v>45778</v>
      </c>
    </row>
    <row r="393" spans="1:18" x14ac:dyDescent="0.25">
      <c r="A393" s="5" t="s">
        <v>798</v>
      </c>
      <c r="B393" s="14">
        <v>45559</v>
      </c>
      <c r="C393" s="5" t="s">
        <v>799</v>
      </c>
      <c r="D393" s="10" t="s">
        <v>42</v>
      </c>
      <c r="E393" s="10" t="s">
        <v>52</v>
      </c>
      <c r="F393" s="10" t="s">
        <v>39</v>
      </c>
      <c r="G393" s="15">
        <v>1</v>
      </c>
      <c r="H393" s="11">
        <v>4723.9295999999995</v>
      </c>
      <c r="I393" s="12">
        <v>15</v>
      </c>
      <c r="J393" s="11">
        <v>4015.1508999999996</v>
      </c>
      <c r="K393" s="11">
        <v>804.35500000000002</v>
      </c>
      <c r="L393" s="10" t="s">
        <v>17</v>
      </c>
      <c r="M393" s="5">
        <f t="shared" si="36"/>
        <v>2024</v>
      </c>
      <c r="N393" s="5">
        <f t="shared" si="37"/>
        <v>9</v>
      </c>
      <c r="O393" s="21">
        <f t="shared" si="38"/>
        <v>45536</v>
      </c>
      <c r="P393" s="13">
        <f t="shared" si="39"/>
        <v>0.20032995522036298</v>
      </c>
      <c r="Q393" s="5">
        <f t="shared" si="40"/>
        <v>202409</v>
      </c>
      <c r="R393" s="21">
        <f t="shared" si="41"/>
        <v>45536</v>
      </c>
    </row>
    <row r="394" spans="1:18" x14ac:dyDescent="0.25">
      <c r="A394" s="5" t="s">
        <v>800</v>
      </c>
      <c r="B394" s="14">
        <v>45619</v>
      </c>
      <c r="C394" s="5" t="s">
        <v>801</v>
      </c>
      <c r="D394" s="10" t="s">
        <v>20</v>
      </c>
      <c r="E394" s="10" t="s">
        <v>38</v>
      </c>
      <c r="F394" s="10" t="s">
        <v>39</v>
      </c>
      <c r="G394" s="15">
        <v>2</v>
      </c>
      <c r="H394" s="11">
        <v>4626.4606999999996</v>
      </c>
      <c r="I394" s="12">
        <v>15</v>
      </c>
      <c r="J394" s="11">
        <v>7864.6992999999993</v>
      </c>
      <c r="K394" s="11">
        <v>1826.3589999999999</v>
      </c>
      <c r="L394" s="10" t="s">
        <v>34</v>
      </c>
      <c r="M394" s="5">
        <f t="shared" si="36"/>
        <v>2024</v>
      </c>
      <c r="N394" s="5">
        <f t="shared" si="37"/>
        <v>11</v>
      </c>
      <c r="O394" s="21">
        <f t="shared" si="38"/>
        <v>45597</v>
      </c>
      <c r="P394" s="13">
        <f t="shared" si="39"/>
        <v>0.23222235591384913</v>
      </c>
      <c r="Q394" s="5">
        <f t="shared" si="40"/>
        <v>202411</v>
      </c>
      <c r="R394" s="21">
        <f t="shared" si="41"/>
        <v>45597</v>
      </c>
    </row>
    <row r="395" spans="1:18" x14ac:dyDescent="0.25">
      <c r="A395" s="5" t="s">
        <v>802</v>
      </c>
      <c r="B395" s="14">
        <v>45727</v>
      </c>
      <c r="C395" s="5" t="s">
        <v>803</v>
      </c>
      <c r="D395" s="10" t="s">
        <v>26</v>
      </c>
      <c r="E395" s="10" t="s">
        <v>105</v>
      </c>
      <c r="F395" s="10" t="s">
        <v>39</v>
      </c>
      <c r="G395" s="15">
        <v>2</v>
      </c>
      <c r="H395" s="11">
        <v>1545.3078999999998</v>
      </c>
      <c r="I395" s="12">
        <v>10</v>
      </c>
      <c r="J395" s="11">
        <v>2781.1756999999998</v>
      </c>
      <c r="K395" s="11">
        <v>621.71910000000003</v>
      </c>
      <c r="L395" s="10" t="s">
        <v>17</v>
      </c>
      <c r="M395" s="5">
        <f t="shared" si="36"/>
        <v>2025</v>
      </c>
      <c r="N395" s="5">
        <f t="shared" si="37"/>
        <v>3</v>
      </c>
      <c r="O395" s="21">
        <f t="shared" si="38"/>
        <v>45717</v>
      </c>
      <c r="P395" s="13">
        <f t="shared" si="39"/>
        <v>0.22354542361347399</v>
      </c>
      <c r="Q395" s="5">
        <f t="shared" si="40"/>
        <v>202503</v>
      </c>
      <c r="R395" s="21">
        <f t="shared" si="41"/>
        <v>45717</v>
      </c>
    </row>
    <row r="396" spans="1:18" x14ac:dyDescent="0.25">
      <c r="A396" s="5" t="s">
        <v>804</v>
      </c>
      <c r="B396" s="14">
        <v>45630</v>
      </c>
      <c r="C396" s="5" t="s">
        <v>547</v>
      </c>
      <c r="D396" s="10" t="s">
        <v>37</v>
      </c>
      <c r="E396" s="10" t="s">
        <v>222</v>
      </c>
      <c r="F396" s="10" t="s">
        <v>22</v>
      </c>
      <c r="G396" s="15">
        <v>1</v>
      </c>
      <c r="H396" s="11">
        <v>2039.2764999999999</v>
      </c>
      <c r="I396" s="12">
        <v>0</v>
      </c>
      <c r="J396" s="11">
        <v>2039.2764999999999</v>
      </c>
      <c r="K396" s="11">
        <v>1297.3773000000001</v>
      </c>
      <c r="L396" s="10" t="s">
        <v>23</v>
      </c>
      <c r="M396" s="5">
        <f t="shared" si="36"/>
        <v>2024</v>
      </c>
      <c r="N396" s="5">
        <f t="shared" si="37"/>
        <v>12</v>
      </c>
      <c r="O396" s="21">
        <f t="shared" si="38"/>
        <v>45627</v>
      </c>
      <c r="P396" s="13">
        <f t="shared" si="39"/>
        <v>0.63619489559164744</v>
      </c>
      <c r="Q396" s="5">
        <f t="shared" si="40"/>
        <v>202412</v>
      </c>
      <c r="R396" s="21">
        <f t="shared" si="41"/>
        <v>45627</v>
      </c>
    </row>
    <row r="397" spans="1:18" x14ac:dyDescent="0.25">
      <c r="A397" s="5" t="s">
        <v>805</v>
      </c>
      <c r="B397" s="14">
        <v>45986</v>
      </c>
      <c r="C397" s="5" t="s">
        <v>806</v>
      </c>
      <c r="D397" s="10" t="s">
        <v>26</v>
      </c>
      <c r="E397" s="10" t="s">
        <v>177</v>
      </c>
      <c r="F397" s="10" t="s">
        <v>49</v>
      </c>
      <c r="G397" s="15">
        <v>1</v>
      </c>
      <c r="H397" s="11">
        <v>3798.4481999999998</v>
      </c>
      <c r="I397" s="12">
        <v>0</v>
      </c>
      <c r="J397" s="11">
        <v>3798.4481999999998</v>
      </c>
      <c r="K397" s="11">
        <v>1386.3295000000001</v>
      </c>
      <c r="L397" s="10" t="s">
        <v>17</v>
      </c>
      <c r="M397" s="5">
        <f t="shared" si="36"/>
        <v>2025</v>
      </c>
      <c r="N397" s="5">
        <f t="shared" si="37"/>
        <v>11</v>
      </c>
      <c r="O397" s="21">
        <f t="shared" si="38"/>
        <v>45962</v>
      </c>
      <c r="P397" s="13">
        <f t="shared" si="39"/>
        <v>0.36497259591429998</v>
      </c>
      <c r="Q397" s="5">
        <f t="shared" si="40"/>
        <v>202511</v>
      </c>
      <c r="R397" s="21">
        <f t="shared" si="41"/>
        <v>45962</v>
      </c>
    </row>
    <row r="398" spans="1:18" x14ac:dyDescent="0.25">
      <c r="A398" s="5" t="s">
        <v>807</v>
      </c>
      <c r="B398" s="14">
        <v>45936</v>
      </c>
      <c r="C398" s="5" t="s">
        <v>457</v>
      </c>
      <c r="D398" s="10" t="s">
        <v>20</v>
      </c>
      <c r="E398" s="10" t="s">
        <v>30</v>
      </c>
      <c r="F398" s="10" t="s">
        <v>16</v>
      </c>
      <c r="G398" s="15">
        <v>3</v>
      </c>
      <c r="H398" s="11">
        <v>2366.6963000000001</v>
      </c>
      <c r="I398" s="12">
        <v>10</v>
      </c>
      <c r="J398" s="11">
        <v>6390.3638999999994</v>
      </c>
      <c r="K398" s="11">
        <v>531.82060000000001</v>
      </c>
      <c r="L398" s="10" t="s">
        <v>17</v>
      </c>
      <c r="M398" s="5">
        <f t="shared" si="36"/>
        <v>2025</v>
      </c>
      <c r="N398" s="5">
        <f t="shared" si="37"/>
        <v>10</v>
      </c>
      <c r="O398" s="21">
        <f t="shared" si="38"/>
        <v>45931</v>
      </c>
      <c r="P398" s="13">
        <f t="shared" si="39"/>
        <v>8.3222271583000162E-2</v>
      </c>
      <c r="Q398" s="5">
        <f t="shared" si="40"/>
        <v>202510</v>
      </c>
      <c r="R398" s="21">
        <f t="shared" si="41"/>
        <v>45931</v>
      </c>
    </row>
    <row r="399" spans="1:18" x14ac:dyDescent="0.25">
      <c r="A399" s="5" t="s">
        <v>808</v>
      </c>
      <c r="B399" s="14">
        <v>45440</v>
      </c>
      <c r="C399" s="5" t="s">
        <v>318</v>
      </c>
      <c r="D399" s="10" t="s">
        <v>14</v>
      </c>
      <c r="E399" s="10" t="s">
        <v>133</v>
      </c>
      <c r="F399" s="10" t="s">
        <v>75</v>
      </c>
      <c r="G399" s="15">
        <v>1</v>
      </c>
      <c r="H399" s="11">
        <v>4340.6780999999992</v>
      </c>
      <c r="I399" s="12">
        <v>15</v>
      </c>
      <c r="J399" s="11">
        <v>3689.6237000000001</v>
      </c>
      <c r="K399" s="11">
        <v>1201.8009999999999</v>
      </c>
      <c r="L399" s="10" t="s">
        <v>23</v>
      </c>
      <c r="M399" s="5">
        <f t="shared" si="36"/>
        <v>2024</v>
      </c>
      <c r="N399" s="5">
        <f t="shared" si="37"/>
        <v>5</v>
      </c>
      <c r="O399" s="21">
        <f t="shared" si="38"/>
        <v>45413</v>
      </c>
      <c r="P399" s="13">
        <f t="shared" si="39"/>
        <v>0.32572454475506535</v>
      </c>
      <c r="Q399" s="5">
        <f t="shared" si="40"/>
        <v>202405</v>
      </c>
      <c r="R399" s="21">
        <f t="shared" si="41"/>
        <v>45413</v>
      </c>
    </row>
    <row r="400" spans="1:18" x14ac:dyDescent="0.25">
      <c r="A400" s="5" t="s">
        <v>809</v>
      </c>
      <c r="B400" s="14">
        <v>45753</v>
      </c>
      <c r="C400" s="5" t="s">
        <v>810</v>
      </c>
      <c r="D400" s="10" t="s">
        <v>14</v>
      </c>
      <c r="E400" s="10" t="s">
        <v>232</v>
      </c>
      <c r="F400" s="10" t="s">
        <v>22</v>
      </c>
      <c r="G400" s="15">
        <v>1</v>
      </c>
      <c r="H400" s="11">
        <v>3673.5365999999999</v>
      </c>
      <c r="I400" s="12">
        <v>0</v>
      </c>
      <c r="J400" s="11">
        <v>3673.5365999999999</v>
      </c>
      <c r="K400" s="11">
        <v>1929.5056999999999</v>
      </c>
      <c r="L400" s="10" t="s">
        <v>34</v>
      </c>
      <c r="M400" s="5">
        <f t="shared" si="36"/>
        <v>2025</v>
      </c>
      <c r="N400" s="5">
        <f t="shared" si="37"/>
        <v>4</v>
      </c>
      <c r="O400" s="21">
        <f t="shared" si="38"/>
        <v>45748</v>
      </c>
      <c r="P400" s="13">
        <f t="shared" si="39"/>
        <v>0.52524471921689853</v>
      </c>
      <c r="Q400" s="5">
        <f t="shared" si="40"/>
        <v>202504</v>
      </c>
      <c r="R400" s="21">
        <f t="shared" si="41"/>
        <v>45748</v>
      </c>
    </row>
    <row r="401" spans="1:18" x14ac:dyDescent="0.25">
      <c r="A401" s="5" t="s">
        <v>811</v>
      </c>
      <c r="B401" s="14">
        <v>45636</v>
      </c>
      <c r="C401" s="5" t="s">
        <v>812</v>
      </c>
      <c r="D401" s="10" t="s">
        <v>42</v>
      </c>
      <c r="E401" s="10" t="s">
        <v>64</v>
      </c>
      <c r="F401" s="10" t="s">
        <v>16</v>
      </c>
      <c r="G401" s="15">
        <v>1</v>
      </c>
      <c r="H401" s="11">
        <v>8547.9278999999988</v>
      </c>
      <c r="I401" s="12">
        <v>0</v>
      </c>
      <c r="J401" s="11">
        <v>8547.9278999999988</v>
      </c>
      <c r="K401" s="11">
        <v>1921.9352999999999</v>
      </c>
      <c r="L401" s="10" t="s">
        <v>23</v>
      </c>
      <c r="M401" s="5">
        <f t="shared" si="36"/>
        <v>2024</v>
      </c>
      <c r="N401" s="5">
        <f t="shared" si="37"/>
        <v>12</v>
      </c>
      <c r="O401" s="21">
        <f t="shared" si="38"/>
        <v>45627</v>
      </c>
      <c r="P401" s="13">
        <f t="shared" si="39"/>
        <v>0.22484224510129527</v>
      </c>
      <c r="Q401" s="5">
        <f t="shared" si="40"/>
        <v>202412</v>
      </c>
      <c r="R401" s="21">
        <f t="shared" si="41"/>
        <v>45627</v>
      </c>
    </row>
    <row r="402" spans="1:18" x14ac:dyDescent="0.25">
      <c r="A402" s="5" t="s">
        <v>813</v>
      </c>
      <c r="B402" s="14">
        <v>45448</v>
      </c>
      <c r="C402" s="5" t="s">
        <v>814</v>
      </c>
      <c r="D402" s="10" t="s">
        <v>20</v>
      </c>
      <c r="E402" s="10" t="s">
        <v>269</v>
      </c>
      <c r="F402" s="10" t="s">
        <v>75</v>
      </c>
      <c r="G402" s="15">
        <v>1</v>
      </c>
      <c r="H402" s="11">
        <v>3074.5286999999998</v>
      </c>
      <c r="I402" s="12">
        <v>0</v>
      </c>
      <c r="J402" s="11">
        <v>3074.5286999999998</v>
      </c>
      <c r="K402" s="11">
        <v>998.34649999999999</v>
      </c>
      <c r="L402" s="10" t="s">
        <v>34</v>
      </c>
      <c r="M402" s="5">
        <f t="shared" si="36"/>
        <v>2024</v>
      </c>
      <c r="N402" s="5">
        <f t="shared" si="37"/>
        <v>6</v>
      </c>
      <c r="O402" s="21">
        <f t="shared" si="38"/>
        <v>45444</v>
      </c>
      <c r="P402" s="13">
        <f t="shared" si="39"/>
        <v>0.324715297014466</v>
      </c>
      <c r="Q402" s="5">
        <f t="shared" si="40"/>
        <v>202406</v>
      </c>
      <c r="R402" s="21">
        <f t="shared" si="41"/>
        <v>45444</v>
      </c>
    </row>
    <row r="403" spans="1:18" x14ac:dyDescent="0.25">
      <c r="A403" s="5" t="s">
        <v>815</v>
      </c>
      <c r="B403" s="14">
        <v>45782</v>
      </c>
      <c r="C403" s="5" t="s">
        <v>584</v>
      </c>
      <c r="D403" s="10" t="s">
        <v>37</v>
      </c>
      <c r="E403" s="10" t="s">
        <v>148</v>
      </c>
      <c r="F403" s="10" t="s">
        <v>16</v>
      </c>
      <c r="G403" s="15">
        <v>2</v>
      </c>
      <c r="H403" s="11">
        <v>7370.7307000000001</v>
      </c>
      <c r="I403" s="12">
        <v>15</v>
      </c>
      <c r="J403" s="11">
        <v>12529.958299999998</v>
      </c>
      <c r="K403" s="11">
        <v>1484.7447</v>
      </c>
      <c r="L403" s="10" t="s">
        <v>17</v>
      </c>
      <c r="M403" s="5">
        <f t="shared" si="36"/>
        <v>2025</v>
      </c>
      <c r="N403" s="5">
        <f t="shared" si="37"/>
        <v>5</v>
      </c>
      <c r="O403" s="21">
        <f t="shared" si="38"/>
        <v>45778</v>
      </c>
      <c r="P403" s="13">
        <f t="shared" si="39"/>
        <v>0.11849558190468999</v>
      </c>
      <c r="Q403" s="5">
        <f t="shared" si="40"/>
        <v>202505</v>
      </c>
      <c r="R403" s="21">
        <f t="shared" si="41"/>
        <v>45778</v>
      </c>
    </row>
    <row r="404" spans="1:18" x14ac:dyDescent="0.25">
      <c r="A404" s="5" t="s">
        <v>816</v>
      </c>
      <c r="B404" s="14">
        <v>45397</v>
      </c>
      <c r="C404" s="5" t="s">
        <v>817</v>
      </c>
      <c r="D404" s="10" t="s">
        <v>14</v>
      </c>
      <c r="E404" s="10" t="s">
        <v>83</v>
      </c>
      <c r="F404" s="10" t="s">
        <v>22</v>
      </c>
      <c r="G404" s="15">
        <v>1</v>
      </c>
      <c r="H404" s="11">
        <v>2963.8116</v>
      </c>
      <c r="I404" s="12">
        <v>15</v>
      </c>
      <c r="J404" s="11">
        <v>2519.0506</v>
      </c>
      <c r="K404" s="11">
        <v>1586.9450999999999</v>
      </c>
      <c r="L404" s="10" t="s">
        <v>34</v>
      </c>
      <c r="M404" s="5">
        <f t="shared" si="36"/>
        <v>2024</v>
      </c>
      <c r="N404" s="5">
        <f t="shared" si="37"/>
        <v>4</v>
      </c>
      <c r="O404" s="21">
        <f t="shared" si="38"/>
        <v>45383</v>
      </c>
      <c r="P404" s="13">
        <f t="shared" si="39"/>
        <v>0.62997746055597292</v>
      </c>
      <c r="Q404" s="5">
        <f t="shared" si="40"/>
        <v>202404</v>
      </c>
      <c r="R404" s="21">
        <f t="shared" si="41"/>
        <v>45383</v>
      </c>
    </row>
    <row r="405" spans="1:18" x14ac:dyDescent="0.25">
      <c r="A405" s="5" t="s">
        <v>818</v>
      </c>
      <c r="B405" s="14">
        <v>45338</v>
      </c>
      <c r="C405" s="5" t="s">
        <v>318</v>
      </c>
      <c r="D405" s="10" t="s">
        <v>42</v>
      </c>
      <c r="E405" s="10" t="s">
        <v>43</v>
      </c>
      <c r="F405" s="10" t="s">
        <v>22</v>
      </c>
      <c r="G405" s="15">
        <v>2</v>
      </c>
      <c r="H405" s="11">
        <v>2104.5711999999999</v>
      </c>
      <c r="I405" s="12">
        <v>0</v>
      </c>
      <c r="J405" s="11">
        <v>4209.1423999999997</v>
      </c>
      <c r="K405" s="11">
        <v>2116.8730999999998</v>
      </c>
      <c r="L405" s="10" t="s">
        <v>17</v>
      </c>
      <c r="M405" s="5">
        <f t="shared" si="36"/>
        <v>2024</v>
      </c>
      <c r="N405" s="5">
        <f t="shared" si="37"/>
        <v>2</v>
      </c>
      <c r="O405" s="21">
        <f t="shared" si="38"/>
        <v>45323</v>
      </c>
      <c r="P405" s="13">
        <f t="shared" si="39"/>
        <v>0.50292266187050361</v>
      </c>
      <c r="Q405" s="5">
        <f t="shared" si="40"/>
        <v>202402</v>
      </c>
      <c r="R405" s="21">
        <f t="shared" si="41"/>
        <v>45323</v>
      </c>
    </row>
    <row r="406" spans="1:18" x14ac:dyDescent="0.25">
      <c r="A406" s="5" t="s">
        <v>819</v>
      </c>
      <c r="B406" s="14">
        <v>45299</v>
      </c>
      <c r="C406" s="5" t="s">
        <v>820</v>
      </c>
      <c r="D406" s="10" t="s">
        <v>26</v>
      </c>
      <c r="E406" s="10" t="s">
        <v>291</v>
      </c>
      <c r="F406" s="10" t="s">
        <v>22</v>
      </c>
      <c r="G406" s="15">
        <v>1</v>
      </c>
      <c r="H406" s="11">
        <v>2126.3361</v>
      </c>
      <c r="I406" s="12">
        <v>5</v>
      </c>
      <c r="J406" s="11">
        <v>2020.3505</v>
      </c>
      <c r="K406" s="11">
        <v>1228.2973999999999</v>
      </c>
      <c r="L406" s="10" t="s">
        <v>17</v>
      </c>
      <c r="M406" s="5">
        <f t="shared" si="36"/>
        <v>2024</v>
      </c>
      <c r="N406" s="5">
        <f t="shared" si="37"/>
        <v>1</v>
      </c>
      <c r="O406" s="21">
        <f t="shared" si="38"/>
        <v>45292</v>
      </c>
      <c r="P406" s="13">
        <f t="shared" si="39"/>
        <v>0.60796252927400463</v>
      </c>
      <c r="Q406" s="5">
        <f t="shared" si="40"/>
        <v>202401</v>
      </c>
      <c r="R406" s="21">
        <f t="shared" si="41"/>
        <v>45292</v>
      </c>
    </row>
    <row r="407" spans="1:18" x14ac:dyDescent="0.25">
      <c r="A407" s="5" t="s">
        <v>821</v>
      </c>
      <c r="B407" s="14">
        <v>45626</v>
      </c>
      <c r="C407" s="5" t="s">
        <v>822</v>
      </c>
      <c r="D407" s="10" t="s">
        <v>37</v>
      </c>
      <c r="E407" s="10" t="s">
        <v>21</v>
      </c>
      <c r="F407" s="10" t="s">
        <v>22</v>
      </c>
      <c r="G407" s="15">
        <v>2</v>
      </c>
      <c r="H407" s="11">
        <v>4608.4809999999998</v>
      </c>
      <c r="I407" s="12">
        <v>0</v>
      </c>
      <c r="J407" s="11">
        <v>9216.9619999999995</v>
      </c>
      <c r="K407" s="11">
        <v>3958.3728999999998</v>
      </c>
      <c r="L407" s="10" t="s">
        <v>23</v>
      </c>
      <c r="M407" s="5">
        <f t="shared" si="36"/>
        <v>2024</v>
      </c>
      <c r="N407" s="5">
        <f t="shared" si="37"/>
        <v>11</v>
      </c>
      <c r="O407" s="21">
        <f t="shared" si="38"/>
        <v>45597</v>
      </c>
      <c r="P407" s="13">
        <f t="shared" si="39"/>
        <v>0.42946611909650922</v>
      </c>
      <c r="Q407" s="5">
        <f t="shared" si="40"/>
        <v>202411</v>
      </c>
      <c r="R407" s="21">
        <f t="shared" si="41"/>
        <v>45597</v>
      </c>
    </row>
    <row r="408" spans="1:18" x14ac:dyDescent="0.25">
      <c r="A408" s="5" t="s">
        <v>823</v>
      </c>
      <c r="B408" s="14">
        <v>45624</v>
      </c>
      <c r="C408" s="5" t="s">
        <v>824</v>
      </c>
      <c r="D408" s="10" t="s">
        <v>42</v>
      </c>
      <c r="E408" s="10" t="s">
        <v>21</v>
      </c>
      <c r="F408" s="10" t="s">
        <v>22</v>
      </c>
      <c r="G408" s="15">
        <v>2</v>
      </c>
      <c r="H408" s="11">
        <v>4233.7461999999996</v>
      </c>
      <c r="I408" s="12">
        <v>10</v>
      </c>
      <c r="J408" s="11">
        <v>7620.5538999999999</v>
      </c>
      <c r="K408" s="11">
        <v>3124.6826000000001</v>
      </c>
      <c r="L408" s="10" t="s">
        <v>17</v>
      </c>
      <c r="M408" s="5">
        <f t="shared" si="36"/>
        <v>2024</v>
      </c>
      <c r="N408" s="5">
        <f t="shared" si="37"/>
        <v>11</v>
      </c>
      <c r="O408" s="21">
        <f t="shared" si="38"/>
        <v>45597</v>
      </c>
      <c r="P408" s="13">
        <f t="shared" si="39"/>
        <v>0.41003352787780956</v>
      </c>
      <c r="Q408" s="5">
        <f t="shared" si="40"/>
        <v>202411</v>
      </c>
      <c r="R408" s="21">
        <f t="shared" si="41"/>
        <v>45597</v>
      </c>
    </row>
    <row r="409" spans="1:18" x14ac:dyDescent="0.25">
      <c r="A409" s="5" t="s">
        <v>825</v>
      </c>
      <c r="B409" s="14">
        <v>45785</v>
      </c>
      <c r="C409" s="5" t="s">
        <v>531</v>
      </c>
      <c r="D409" s="10" t="s">
        <v>42</v>
      </c>
      <c r="E409" s="10" t="s">
        <v>154</v>
      </c>
      <c r="F409" s="10" t="s">
        <v>39</v>
      </c>
      <c r="G409" s="15">
        <v>2</v>
      </c>
      <c r="H409" s="11">
        <v>2026.0282999999999</v>
      </c>
      <c r="I409" s="12">
        <v>5</v>
      </c>
      <c r="J409" s="11">
        <v>3849.5483999999997</v>
      </c>
      <c r="K409" s="11">
        <v>884.79049999999995</v>
      </c>
      <c r="L409" s="10" t="s">
        <v>17</v>
      </c>
      <c r="M409" s="5">
        <f t="shared" si="36"/>
        <v>2025</v>
      </c>
      <c r="N409" s="5">
        <f t="shared" si="37"/>
        <v>5</v>
      </c>
      <c r="O409" s="21">
        <f t="shared" si="38"/>
        <v>45778</v>
      </c>
      <c r="P409" s="13">
        <f t="shared" si="39"/>
        <v>0.22984267453294002</v>
      </c>
      <c r="Q409" s="5">
        <f t="shared" si="40"/>
        <v>202505</v>
      </c>
      <c r="R409" s="21">
        <f t="shared" si="41"/>
        <v>45778</v>
      </c>
    </row>
    <row r="410" spans="1:18" x14ac:dyDescent="0.25">
      <c r="A410" s="5" t="s">
        <v>826</v>
      </c>
      <c r="B410" s="14">
        <v>45917</v>
      </c>
      <c r="C410" s="5" t="s">
        <v>647</v>
      </c>
      <c r="D410" s="10" t="s">
        <v>14</v>
      </c>
      <c r="E410" s="10" t="s">
        <v>43</v>
      </c>
      <c r="F410" s="10" t="s">
        <v>22</v>
      </c>
      <c r="G410" s="15">
        <v>2</v>
      </c>
      <c r="H410" s="11">
        <v>2235.1606000000002</v>
      </c>
      <c r="I410" s="12">
        <v>10</v>
      </c>
      <c r="J410" s="11">
        <v>4023.6676000000002</v>
      </c>
      <c r="K410" s="11">
        <v>2612.7342999999996</v>
      </c>
      <c r="L410" s="10" t="s">
        <v>17</v>
      </c>
      <c r="M410" s="5">
        <f t="shared" si="36"/>
        <v>2025</v>
      </c>
      <c r="N410" s="5">
        <f t="shared" si="37"/>
        <v>9</v>
      </c>
      <c r="O410" s="21">
        <f t="shared" si="38"/>
        <v>45901</v>
      </c>
      <c r="P410" s="13">
        <f t="shared" si="39"/>
        <v>0.64934148635936018</v>
      </c>
      <c r="Q410" s="5">
        <f t="shared" si="40"/>
        <v>202509</v>
      </c>
      <c r="R410" s="21">
        <f t="shared" si="41"/>
        <v>45901</v>
      </c>
    </row>
    <row r="411" spans="1:18" x14ac:dyDescent="0.25">
      <c r="A411" s="5" t="s">
        <v>827</v>
      </c>
      <c r="B411" s="14">
        <v>46020</v>
      </c>
      <c r="C411" s="5" t="s">
        <v>828</v>
      </c>
      <c r="D411" s="10" t="s">
        <v>42</v>
      </c>
      <c r="E411" s="10" t="s">
        <v>148</v>
      </c>
      <c r="F411" s="10" t="s">
        <v>16</v>
      </c>
      <c r="G411" s="15">
        <v>2</v>
      </c>
      <c r="H411" s="11">
        <v>9656.0452000000005</v>
      </c>
      <c r="I411" s="12">
        <v>0</v>
      </c>
      <c r="J411" s="11">
        <v>19312.090400000001</v>
      </c>
      <c r="K411" s="11">
        <v>3102.9177</v>
      </c>
      <c r="L411" s="10" t="s">
        <v>17</v>
      </c>
      <c r="M411" s="5">
        <f t="shared" si="36"/>
        <v>2025</v>
      </c>
      <c r="N411" s="5">
        <f t="shared" si="37"/>
        <v>12</v>
      </c>
      <c r="O411" s="21">
        <f t="shared" si="38"/>
        <v>45992</v>
      </c>
      <c r="P411" s="13">
        <f t="shared" si="39"/>
        <v>0.16067228537828301</v>
      </c>
      <c r="Q411" s="5">
        <f t="shared" si="40"/>
        <v>202512</v>
      </c>
      <c r="R411" s="21">
        <f t="shared" si="41"/>
        <v>45992</v>
      </c>
    </row>
    <row r="412" spans="1:18" x14ac:dyDescent="0.25">
      <c r="A412" s="5" t="s">
        <v>829</v>
      </c>
      <c r="B412" s="14">
        <v>45363</v>
      </c>
      <c r="C412" s="5" t="s">
        <v>639</v>
      </c>
      <c r="D412" s="10" t="s">
        <v>42</v>
      </c>
      <c r="E412" s="10" t="s">
        <v>187</v>
      </c>
      <c r="F412" s="10" t="s">
        <v>75</v>
      </c>
      <c r="G412" s="15">
        <v>3</v>
      </c>
      <c r="H412" s="11">
        <v>5121.3755999999994</v>
      </c>
      <c r="I412" s="12">
        <v>0</v>
      </c>
      <c r="J412" s="11">
        <v>15364.1268</v>
      </c>
      <c r="K412" s="11">
        <v>4139.1162000000004</v>
      </c>
      <c r="L412" s="10" t="s">
        <v>23</v>
      </c>
      <c r="M412" s="5">
        <f t="shared" si="36"/>
        <v>2024</v>
      </c>
      <c r="N412" s="5">
        <f t="shared" si="37"/>
        <v>3</v>
      </c>
      <c r="O412" s="21">
        <f t="shared" si="38"/>
        <v>45352</v>
      </c>
      <c r="P412" s="13">
        <f t="shared" si="39"/>
        <v>0.26940133037694014</v>
      </c>
      <c r="Q412" s="5">
        <f t="shared" si="40"/>
        <v>202403</v>
      </c>
      <c r="R412" s="21">
        <f t="shared" si="41"/>
        <v>45352</v>
      </c>
    </row>
    <row r="413" spans="1:18" x14ac:dyDescent="0.25">
      <c r="A413" s="5" t="s">
        <v>830</v>
      </c>
      <c r="B413" s="14">
        <v>45892</v>
      </c>
      <c r="C413" s="5" t="s">
        <v>831</v>
      </c>
      <c r="D413" s="10" t="s">
        <v>37</v>
      </c>
      <c r="E413" s="10" t="s">
        <v>21</v>
      </c>
      <c r="F413" s="10" t="s">
        <v>22</v>
      </c>
      <c r="G413" s="15">
        <v>2</v>
      </c>
      <c r="H413" s="11">
        <v>774.07339999999999</v>
      </c>
      <c r="I413" s="12">
        <v>10</v>
      </c>
      <c r="J413" s="11">
        <v>1392.9536000000001</v>
      </c>
      <c r="K413" s="11">
        <v>694.58420000000001</v>
      </c>
      <c r="L413" s="10" t="s">
        <v>17</v>
      </c>
      <c r="M413" s="5">
        <f t="shared" si="36"/>
        <v>2025</v>
      </c>
      <c r="N413" s="5">
        <f t="shared" si="37"/>
        <v>8</v>
      </c>
      <c r="O413" s="21">
        <f t="shared" si="38"/>
        <v>45870</v>
      </c>
      <c r="P413" s="13">
        <f t="shared" si="39"/>
        <v>0.49864130434782605</v>
      </c>
      <c r="Q413" s="5">
        <f t="shared" si="40"/>
        <v>202508</v>
      </c>
      <c r="R413" s="21">
        <f t="shared" si="41"/>
        <v>45870</v>
      </c>
    </row>
    <row r="414" spans="1:18" x14ac:dyDescent="0.25">
      <c r="A414" s="5" t="s">
        <v>832</v>
      </c>
      <c r="B414" s="14">
        <v>45714</v>
      </c>
      <c r="C414" s="5" t="s">
        <v>833</v>
      </c>
      <c r="D414" s="10" t="s">
        <v>42</v>
      </c>
      <c r="E414" s="10" t="s">
        <v>556</v>
      </c>
      <c r="F414" s="10" t="s">
        <v>49</v>
      </c>
      <c r="G414" s="15">
        <v>1</v>
      </c>
      <c r="H414" s="11">
        <v>7919.5846999999994</v>
      </c>
      <c r="I414" s="12">
        <v>15</v>
      </c>
      <c r="J414" s="11">
        <v>6731.9781999999996</v>
      </c>
      <c r="K414" s="11">
        <v>2643.9621999999999</v>
      </c>
      <c r="L414" s="10" t="s">
        <v>17</v>
      </c>
      <c r="M414" s="5">
        <f t="shared" si="36"/>
        <v>2025</v>
      </c>
      <c r="N414" s="5">
        <f t="shared" si="37"/>
        <v>2</v>
      </c>
      <c r="O414" s="21">
        <f t="shared" si="38"/>
        <v>45689</v>
      </c>
      <c r="P414" s="13">
        <f t="shared" si="39"/>
        <v>0.39274669665448414</v>
      </c>
      <c r="Q414" s="5">
        <f t="shared" si="40"/>
        <v>202502</v>
      </c>
      <c r="R414" s="21">
        <f t="shared" si="41"/>
        <v>45689</v>
      </c>
    </row>
    <row r="415" spans="1:18" x14ac:dyDescent="0.25">
      <c r="A415" s="5" t="s">
        <v>834</v>
      </c>
      <c r="B415" s="14">
        <v>45961</v>
      </c>
      <c r="C415" s="5" t="s">
        <v>51</v>
      </c>
      <c r="D415" s="10" t="s">
        <v>20</v>
      </c>
      <c r="E415" s="10" t="s">
        <v>556</v>
      </c>
      <c r="F415" s="10" t="s">
        <v>49</v>
      </c>
      <c r="G415" s="15">
        <v>2</v>
      </c>
      <c r="H415" s="11">
        <v>2089.4303999999997</v>
      </c>
      <c r="I415" s="12">
        <v>0</v>
      </c>
      <c r="J415" s="11">
        <v>4178.8607999999995</v>
      </c>
      <c r="K415" s="11">
        <v>1368.3498</v>
      </c>
      <c r="L415" s="10" t="s">
        <v>17</v>
      </c>
      <c r="M415" s="5">
        <f t="shared" si="36"/>
        <v>2025</v>
      </c>
      <c r="N415" s="5">
        <f t="shared" si="37"/>
        <v>10</v>
      </c>
      <c r="O415" s="21">
        <f t="shared" si="38"/>
        <v>45931</v>
      </c>
      <c r="P415" s="13">
        <f t="shared" si="39"/>
        <v>0.32744565217391308</v>
      </c>
      <c r="Q415" s="5">
        <f t="shared" si="40"/>
        <v>202510</v>
      </c>
      <c r="R415" s="21">
        <f t="shared" si="41"/>
        <v>45931</v>
      </c>
    </row>
    <row r="416" spans="1:18" x14ac:dyDescent="0.25">
      <c r="A416" s="5" t="s">
        <v>835</v>
      </c>
      <c r="B416" s="14">
        <v>45954</v>
      </c>
      <c r="C416" s="5" t="s">
        <v>836</v>
      </c>
      <c r="D416" s="10" t="s">
        <v>20</v>
      </c>
      <c r="E416" s="10" t="s">
        <v>291</v>
      </c>
      <c r="F416" s="10" t="s">
        <v>22</v>
      </c>
      <c r="G416" s="15">
        <v>5</v>
      </c>
      <c r="H416" s="11">
        <v>1847.1776</v>
      </c>
      <c r="I416" s="12">
        <v>0</v>
      </c>
      <c r="J416" s="11">
        <v>9235.887999999999</v>
      </c>
      <c r="K416" s="11">
        <v>4636.87</v>
      </c>
      <c r="L416" s="10" t="s">
        <v>17</v>
      </c>
      <c r="M416" s="5">
        <f t="shared" si="36"/>
        <v>2025</v>
      </c>
      <c r="N416" s="5">
        <f t="shared" si="37"/>
        <v>10</v>
      </c>
      <c r="O416" s="21">
        <f t="shared" si="38"/>
        <v>45931</v>
      </c>
      <c r="P416" s="13">
        <f t="shared" si="39"/>
        <v>0.50204918032786894</v>
      </c>
      <c r="Q416" s="5">
        <f t="shared" si="40"/>
        <v>202510</v>
      </c>
      <c r="R416" s="21">
        <f t="shared" si="41"/>
        <v>45931</v>
      </c>
    </row>
    <row r="417" spans="1:18" x14ac:dyDescent="0.25">
      <c r="A417" s="5" t="s">
        <v>837</v>
      </c>
      <c r="B417" s="14">
        <v>46007</v>
      </c>
      <c r="C417" s="5" t="s">
        <v>838</v>
      </c>
      <c r="D417" s="10" t="s">
        <v>14</v>
      </c>
      <c r="E417" s="10" t="s">
        <v>64</v>
      </c>
      <c r="F417" s="10" t="s">
        <v>16</v>
      </c>
      <c r="G417" s="15">
        <v>1</v>
      </c>
      <c r="H417" s="11">
        <v>6426.3232999999991</v>
      </c>
      <c r="I417" s="12">
        <v>5</v>
      </c>
      <c r="J417" s="11">
        <v>6104.5812999999998</v>
      </c>
      <c r="K417" s="11">
        <v>537.49839999999995</v>
      </c>
      <c r="L417" s="10" t="s">
        <v>17</v>
      </c>
      <c r="M417" s="5">
        <f t="shared" si="36"/>
        <v>2025</v>
      </c>
      <c r="N417" s="5">
        <f t="shared" si="37"/>
        <v>12</v>
      </c>
      <c r="O417" s="21">
        <f t="shared" si="38"/>
        <v>45992</v>
      </c>
      <c r="P417" s="13">
        <f t="shared" si="39"/>
        <v>8.8048364594636483E-2</v>
      </c>
      <c r="Q417" s="5">
        <f t="shared" si="40"/>
        <v>202512</v>
      </c>
      <c r="R417" s="21">
        <f t="shared" si="41"/>
        <v>45992</v>
      </c>
    </row>
    <row r="418" spans="1:18" x14ac:dyDescent="0.25">
      <c r="A418" s="5" t="s">
        <v>839</v>
      </c>
      <c r="B418" s="14">
        <v>46009</v>
      </c>
      <c r="C418" s="5" t="s">
        <v>840</v>
      </c>
      <c r="D418" s="10" t="s">
        <v>14</v>
      </c>
      <c r="E418" s="10" t="s">
        <v>15</v>
      </c>
      <c r="F418" s="10" t="s">
        <v>16</v>
      </c>
      <c r="G418" s="15">
        <v>2</v>
      </c>
      <c r="H418" s="11">
        <v>7999.0738999999994</v>
      </c>
      <c r="I418" s="12">
        <v>5</v>
      </c>
      <c r="J418" s="11">
        <v>15198.524300000001</v>
      </c>
      <c r="K418" s="11">
        <v>1954.1094999999998</v>
      </c>
      <c r="L418" s="10" t="s">
        <v>17</v>
      </c>
      <c r="M418" s="5">
        <f t="shared" si="36"/>
        <v>2025</v>
      </c>
      <c r="N418" s="5">
        <f t="shared" si="37"/>
        <v>12</v>
      </c>
      <c r="O418" s="21">
        <f t="shared" si="38"/>
        <v>45992</v>
      </c>
      <c r="P418" s="13">
        <f t="shared" si="39"/>
        <v>0.12857231803748209</v>
      </c>
      <c r="Q418" s="5">
        <f t="shared" si="40"/>
        <v>202512</v>
      </c>
      <c r="R418" s="21">
        <f t="shared" si="41"/>
        <v>45992</v>
      </c>
    </row>
    <row r="419" spans="1:18" x14ac:dyDescent="0.25">
      <c r="A419" s="5" t="s">
        <v>841</v>
      </c>
      <c r="B419" s="14">
        <v>45394</v>
      </c>
      <c r="C419" s="5" t="s">
        <v>842</v>
      </c>
      <c r="D419" s="10" t="s">
        <v>37</v>
      </c>
      <c r="E419" s="10" t="s">
        <v>21</v>
      </c>
      <c r="F419" s="10" t="s">
        <v>22</v>
      </c>
      <c r="G419" s="15">
        <v>1</v>
      </c>
      <c r="H419" s="11">
        <v>3392.4854999999998</v>
      </c>
      <c r="I419" s="12">
        <v>15</v>
      </c>
      <c r="J419" s="11">
        <v>2883.3761</v>
      </c>
      <c r="K419" s="11">
        <v>1635.2064</v>
      </c>
      <c r="L419" s="10" t="s">
        <v>17</v>
      </c>
      <c r="M419" s="5">
        <f t="shared" si="36"/>
        <v>2024</v>
      </c>
      <c r="N419" s="5">
        <f t="shared" si="37"/>
        <v>4</v>
      </c>
      <c r="O419" s="21">
        <f t="shared" si="38"/>
        <v>45383</v>
      </c>
      <c r="P419" s="13">
        <f t="shared" si="39"/>
        <v>0.56711519527404008</v>
      </c>
      <c r="Q419" s="5">
        <f t="shared" si="40"/>
        <v>202404</v>
      </c>
      <c r="R419" s="21">
        <f t="shared" si="41"/>
        <v>45383</v>
      </c>
    </row>
    <row r="420" spans="1:18" x14ac:dyDescent="0.25">
      <c r="A420" s="5" t="s">
        <v>843</v>
      </c>
      <c r="B420" s="14">
        <v>45405</v>
      </c>
      <c r="C420" s="5" t="s">
        <v>844</v>
      </c>
      <c r="D420" s="10" t="s">
        <v>42</v>
      </c>
      <c r="E420" s="10" t="s">
        <v>94</v>
      </c>
      <c r="F420" s="10" t="s">
        <v>75</v>
      </c>
      <c r="G420" s="15">
        <v>2</v>
      </c>
      <c r="H420" s="11">
        <v>4405.9727999999996</v>
      </c>
      <c r="I420" s="12">
        <v>10</v>
      </c>
      <c r="J420" s="11">
        <v>7930.9403000000002</v>
      </c>
      <c r="K420" s="11">
        <v>1363.6182999999999</v>
      </c>
      <c r="L420" s="10" t="s">
        <v>17</v>
      </c>
      <c r="M420" s="5">
        <f t="shared" si="36"/>
        <v>2024</v>
      </c>
      <c r="N420" s="5">
        <f t="shared" si="37"/>
        <v>4</v>
      </c>
      <c r="O420" s="21">
        <f t="shared" si="38"/>
        <v>45383</v>
      </c>
      <c r="P420" s="13">
        <f t="shared" si="39"/>
        <v>0.17193652308793697</v>
      </c>
      <c r="Q420" s="5">
        <f t="shared" si="40"/>
        <v>202404</v>
      </c>
      <c r="R420" s="21">
        <f t="shared" si="41"/>
        <v>45383</v>
      </c>
    </row>
    <row r="421" spans="1:18" x14ac:dyDescent="0.25">
      <c r="A421" s="5" t="s">
        <v>845</v>
      </c>
      <c r="B421" s="14">
        <v>45865</v>
      </c>
      <c r="C421" s="5" t="s">
        <v>846</v>
      </c>
      <c r="D421" s="10" t="s">
        <v>26</v>
      </c>
      <c r="E421" s="10" t="s">
        <v>222</v>
      </c>
      <c r="F421" s="10" t="s">
        <v>22</v>
      </c>
      <c r="G421" s="15">
        <v>1</v>
      </c>
      <c r="H421" s="11">
        <v>3144.5548999999996</v>
      </c>
      <c r="I421" s="12">
        <v>0</v>
      </c>
      <c r="J421" s="11">
        <v>3144.5548999999996</v>
      </c>
      <c r="K421" s="11">
        <v>1835.8219999999999</v>
      </c>
      <c r="L421" s="10" t="s">
        <v>17</v>
      </c>
      <c r="M421" s="5">
        <f t="shared" si="36"/>
        <v>2025</v>
      </c>
      <c r="N421" s="5">
        <f t="shared" si="37"/>
        <v>7</v>
      </c>
      <c r="O421" s="21">
        <f t="shared" si="38"/>
        <v>45839</v>
      </c>
      <c r="P421" s="13">
        <f t="shared" si="39"/>
        <v>0.58380981041227809</v>
      </c>
      <c r="Q421" s="5">
        <f t="shared" si="40"/>
        <v>202507</v>
      </c>
      <c r="R421" s="21">
        <f t="shared" si="41"/>
        <v>45839</v>
      </c>
    </row>
    <row r="422" spans="1:18" x14ac:dyDescent="0.25">
      <c r="A422" s="5" t="s">
        <v>847</v>
      </c>
      <c r="B422" s="14">
        <v>45768</v>
      </c>
      <c r="C422" s="5" t="s">
        <v>848</v>
      </c>
      <c r="D422" s="10" t="s">
        <v>42</v>
      </c>
      <c r="E422" s="10" t="s">
        <v>269</v>
      </c>
      <c r="F422" s="10" t="s">
        <v>75</v>
      </c>
      <c r="G422" s="15">
        <v>1</v>
      </c>
      <c r="H422" s="11">
        <v>5484.7547999999997</v>
      </c>
      <c r="I422" s="12">
        <v>0</v>
      </c>
      <c r="J422" s="11">
        <v>5484.7547999999997</v>
      </c>
      <c r="K422" s="11">
        <v>1699.5547999999999</v>
      </c>
      <c r="L422" s="10" t="s">
        <v>23</v>
      </c>
      <c r="M422" s="5">
        <f t="shared" si="36"/>
        <v>2025</v>
      </c>
      <c r="N422" s="5">
        <f t="shared" si="37"/>
        <v>4</v>
      </c>
      <c r="O422" s="21">
        <f t="shared" si="38"/>
        <v>45748</v>
      </c>
      <c r="P422" s="13">
        <f t="shared" si="39"/>
        <v>0.30986887508626637</v>
      </c>
      <c r="Q422" s="5">
        <f t="shared" si="40"/>
        <v>202504</v>
      </c>
      <c r="R422" s="21">
        <f t="shared" si="41"/>
        <v>45748</v>
      </c>
    </row>
    <row r="423" spans="1:18" x14ac:dyDescent="0.25">
      <c r="A423" s="5" t="s">
        <v>849</v>
      </c>
      <c r="B423" s="14">
        <v>45679</v>
      </c>
      <c r="C423" s="5" t="s">
        <v>850</v>
      </c>
      <c r="D423" s="10" t="s">
        <v>26</v>
      </c>
      <c r="E423" s="10" t="s">
        <v>111</v>
      </c>
      <c r="F423" s="10" t="s">
        <v>49</v>
      </c>
      <c r="G423" s="15">
        <v>3</v>
      </c>
      <c r="H423" s="11">
        <v>7212.6985999999997</v>
      </c>
      <c r="I423" s="12">
        <v>10</v>
      </c>
      <c r="J423" s="11">
        <v>19473.9077</v>
      </c>
      <c r="K423" s="11">
        <v>9490.4426999999996</v>
      </c>
      <c r="L423" s="10" t="s">
        <v>23</v>
      </c>
      <c r="M423" s="5">
        <f t="shared" si="36"/>
        <v>2025</v>
      </c>
      <c r="N423" s="5">
        <f t="shared" si="37"/>
        <v>1</v>
      </c>
      <c r="O423" s="21">
        <f t="shared" si="38"/>
        <v>45658</v>
      </c>
      <c r="P423" s="13">
        <f t="shared" si="39"/>
        <v>0.48734146459983479</v>
      </c>
      <c r="Q423" s="5">
        <f t="shared" si="40"/>
        <v>202501</v>
      </c>
      <c r="R423" s="21">
        <f t="shared" si="41"/>
        <v>45658</v>
      </c>
    </row>
    <row r="424" spans="1:18" x14ac:dyDescent="0.25">
      <c r="A424" s="5" t="s">
        <v>851</v>
      </c>
      <c r="B424" s="14">
        <v>45413</v>
      </c>
      <c r="C424" s="5" t="s">
        <v>852</v>
      </c>
      <c r="D424" s="10" t="s">
        <v>26</v>
      </c>
      <c r="E424" s="10" t="s">
        <v>88</v>
      </c>
      <c r="F424" s="10" t="s">
        <v>22</v>
      </c>
      <c r="G424" s="15">
        <v>3</v>
      </c>
      <c r="H424" s="11">
        <v>2566.3656000000001</v>
      </c>
      <c r="I424" s="12">
        <v>0</v>
      </c>
      <c r="J424" s="11">
        <v>7699.0967999999993</v>
      </c>
      <c r="K424" s="11">
        <v>3914.8430999999996</v>
      </c>
      <c r="L424" s="10" t="s">
        <v>17</v>
      </c>
      <c r="M424" s="5">
        <f t="shared" si="36"/>
        <v>2024</v>
      </c>
      <c r="N424" s="5">
        <f t="shared" si="37"/>
        <v>5</v>
      </c>
      <c r="O424" s="21">
        <f t="shared" si="38"/>
        <v>45413</v>
      </c>
      <c r="P424" s="13">
        <f t="shared" si="39"/>
        <v>0.50848082595870203</v>
      </c>
      <c r="Q424" s="5">
        <f t="shared" si="40"/>
        <v>202405</v>
      </c>
      <c r="R424" s="21">
        <f t="shared" si="41"/>
        <v>45413</v>
      </c>
    </row>
    <row r="425" spans="1:18" x14ac:dyDescent="0.25">
      <c r="A425" s="5" t="s">
        <v>853</v>
      </c>
      <c r="B425" s="14">
        <v>45857</v>
      </c>
      <c r="C425" s="5" t="s">
        <v>132</v>
      </c>
      <c r="D425" s="10" t="s">
        <v>42</v>
      </c>
      <c r="E425" s="10" t="s">
        <v>187</v>
      </c>
      <c r="F425" s="10" t="s">
        <v>75</v>
      </c>
      <c r="G425" s="15">
        <v>5</v>
      </c>
      <c r="H425" s="11">
        <v>5038.1012000000001</v>
      </c>
      <c r="I425" s="12">
        <v>20</v>
      </c>
      <c r="J425" s="11">
        <v>20152.4048</v>
      </c>
      <c r="K425" s="11">
        <v>4539.4011</v>
      </c>
      <c r="L425" s="10" t="s">
        <v>23</v>
      </c>
      <c r="M425" s="5">
        <f t="shared" si="36"/>
        <v>2025</v>
      </c>
      <c r="N425" s="5">
        <f t="shared" si="37"/>
        <v>7</v>
      </c>
      <c r="O425" s="21">
        <f t="shared" si="38"/>
        <v>45839</v>
      </c>
      <c r="P425" s="13">
        <f t="shared" si="39"/>
        <v>0.22525356874530428</v>
      </c>
      <c r="Q425" s="5">
        <f t="shared" si="40"/>
        <v>202507</v>
      </c>
      <c r="R425" s="21">
        <f t="shared" si="41"/>
        <v>45839</v>
      </c>
    </row>
    <row r="426" spans="1:18" x14ac:dyDescent="0.25">
      <c r="A426" s="5" t="s">
        <v>854</v>
      </c>
      <c r="B426" s="14">
        <v>45479</v>
      </c>
      <c r="C426" s="5" t="s">
        <v>855</v>
      </c>
      <c r="D426" s="10" t="s">
        <v>20</v>
      </c>
      <c r="E426" s="10" t="s">
        <v>94</v>
      </c>
      <c r="F426" s="10" t="s">
        <v>75</v>
      </c>
      <c r="G426" s="15">
        <v>4</v>
      </c>
      <c r="H426" s="11">
        <v>960.49450000000002</v>
      </c>
      <c r="I426" s="12">
        <v>10</v>
      </c>
      <c r="J426" s="11">
        <v>3457.7801999999997</v>
      </c>
      <c r="K426" s="11">
        <v>885.7367999999999</v>
      </c>
      <c r="L426" s="10" t="s">
        <v>23</v>
      </c>
      <c r="M426" s="5">
        <f t="shared" si="36"/>
        <v>2024</v>
      </c>
      <c r="N426" s="5">
        <f t="shared" si="37"/>
        <v>7</v>
      </c>
      <c r="O426" s="21">
        <f t="shared" si="38"/>
        <v>45474</v>
      </c>
      <c r="P426" s="13">
        <f t="shared" si="39"/>
        <v>0.25615763546798032</v>
      </c>
      <c r="Q426" s="5">
        <f t="shared" si="40"/>
        <v>202407</v>
      </c>
      <c r="R426" s="21">
        <f t="shared" si="41"/>
        <v>45474</v>
      </c>
    </row>
    <row r="427" spans="1:18" x14ac:dyDescent="0.25">
      <c r="A427" s="5" t="s">
        <v>856</v>
      </c>
      <c r="B427" s="14">
        <v>45627</v>
      </c>
      <c r="C427" s="5" t="s">
        <v>857</v>
      </c>
      <c r="D427" s="10" t="s">
        <v>20</v>
      </c>
      <c r="E427" s="10" t="s">
        <v>556</v>
      </c>
      <c r="F427" s="10" t="s">
        <v>49</v>
      </c>
      <c r="G427" s="15">
        <v>2</v>
      </c>
      <c r="H427" s="11">
        <v>7627.177999999999</v>
      </c>
      <c r="I427" s="12">
        <v>0</v>
      </c>
      <c r="J427" s="11">
        <v>15254.355999999998</v>
      </c>
      <c r="K427" s="11">
        <v>8093.7038999999995</v>
      </c>
      <c r="L427" s="10" t="s">
        <v>17</v>
      </c>
      <c r="M427" s="5">
        <f t="shared" si="36"/>
        <v>2024</v>
      </c>
      <c r="N427" s="5">
        <f t="shared" si="37"/>
        <v>12</v>
      </c>
      <c r="O427" s="21">
        <f t="shared" si="38"/>
        <v>45627</v>
      </c>
      <c r="P427" s="13">
        <f t="shared" si="39"/>
        <v>0.53058312655086848</v>
      </c>
      <c r="Q427" s="5">
        <f t="shared" si="40"/>
        <v>202412</v>
      </c>
      <c r="R427" s="21">
        <f t="shared" si="41"/>
        <v>45627</v>
      </c>
    </row>
    <row r="428" spans="1:18" x14ac:dyDescent="0.25">
      <c r="A428" s="5" t="s">
        <v>858</v>
      </c>
      <c r="B428" s="14">
        <v>45308</v>
      </c>
      <c r="C428" s="5" t="s">
        <v>859</v>
      </c>
      <c r="D428" s="10" t="s">
        <v>20</v>
      </c>
      <c r="E428" s="10" t="s">
        <v>30</v>
      </c>
      <c r="F428" s="10" t="s">
        <v>16</v>
      </c>
      <c r="G428" s="15">
        <v>1</v>
      </c>
      <c r="H428" s="11">
        <v>13217.9184</v>
      </c>
      <c r="I428" s="12">
        <v>0</v>
      </c>
      <c r="J428" s="11">
        <v>13217.9184</v>
      </c>
      <c r="K428" s="11">
        <v>2724.3977</v>
      </c>
      <c r="L428" s="10" t="s">
        <v>17</v>
      </c>
      <c r="M428" s="5">
        <f t="shared" si="36"/>
        <v>2024</v>
      </c>
      <c r="N428" s="5">
        <f t="shared" si="37"/>
        <v>1</v>
      </c>
      <c r="O428" s="21">
        <f t="shared" si="38"/>
        <v>45292</v>
      </c>
      <c r="P428" s="13">
        <f t="shared" si="39"/>
        <v>0.2061139747995418</v>
      </c>
      <c r="Q428" s="5">
        <f t="shared" si="40"/>
        <v>202401</v>
      </c>
      <c r="R428" s="21">
        <f t="shared" si="41"/>
        <v>45292</v>
      </c>
    </row>
    <row r="429" spans="1:18" x14ac:dyDescent="0.25">
      <c r="A429" s="5" t="s">
        <v>860</v>
      </c>
      <c r="B429" s="14">
        <v>45590</v>
      </c>
      <c r="C429" s="5" t="s">
        <v>861</v>
      </c>
      <c r="D429" s="10" t="s">
        <v>14</v>
      </c>
      <c r="E429" s="10" t="s">
        <v>21</v>
      </c>
      <c r="F429" s="10" t="s">
        <v>22</v>
      </c>
      <c r="G429" s="15">
        <v>4</v>
      </c>
      <c r="H429" s="11">
        <v>4524.2602999999999</v>
      </c>
      <c r="I429" s="12">
        <v>0</v>
      </c>
      <c r="J429" s="11">
        <v>18097.0412</v>
      </c>
      <c r="K429" s="11">
        <v>8119.253999999999</v>
      </c>
      <c r="L429" s="10" t="s">
        <v>23</v>
      </c>
      <c r="M429" s="5">
        <f t="shared" si="36"/>
        <v>2024</v>
      </c>
      <c r="N429" s="5">
        <f t="shared" si="37"/>
        <v>10</v>
      </c>
      <c r="O429" s="21">
        <f t="shared" si="38"/>
        <v>45566</v>
      </c>
      <c r="P429" s="13">
        <f t="shared" si="39"/>
        <v>0.44865090985149547</v>
      </c>
      <c r="Q429" s="5">
        <f t="shared" si="40"/>
        <v>202410</v>
      </c>
      <c r="R429" s="21">
        <f t="shared" si="41"/>
        <v>45566</v>
      </c>
    </row>
    <row r="430" spans="1:18" x14ac:dyDescent="0.25">
      <c r="A430" s="5" t="s">
        <v>862</v>
      </c>
      <c r="B430" s="14">
        <v>45924</v>
      </c>
      <c r="C430" s="5" t="s">
        <v>863</v>
      </c>
      <c r="D430" s="10" t="s">
        <v>42</v>
      </c>
      <c r="E430" s="10" t="s">
        <v>187</v>
      </c>
      <c r="F430" s="10" t="s">
        <v>75</v>
      </c>
      <c r="G430" s="15">
        <v>3</v>
      </c>
      <c r="H430" s="11">
        <v>3060.3342000000002</v>
      </c>
      <c r="I430" s="12">
        <v>10</v>
      </c>
      <c r="J430" s="11">
        <v>8263.0915999999997</v>
      </c>
      <c r="K430" s="11">
        <v>1435.5371</v>
      </c>
      <c r="L430" s="10" t="s">
        <v>23</v>
      </c>
      <c r="M430" s="5">
        <f t="shared" si="36"/>
        <v>2025</v>
      </c>
      <c r="N430" s="5">
        <f t="shared" si="37"/>
        <v>9</v>
      </c>
      <c r="O430" s="21">
        <f t="shared" si="38"/>
        <v>45901</v>
      </c>
      <c r="P430" s="13">
        <f t="shared" si="39"/>
        <v>0.17372881355932204</v>
      </c>
      <c r="Q430" s="5">
        <f t="shared" si="40"/>
        <v>202509</v>
      </c>
      <c r="R430" s="21">
        <f t="shared" si="41"/>
        <v>45901</v>
      </c>
    </row>
    <row r="431" spans="1:18" x14ac:dyDescent="0.25">
      <c r="A431" s="5" t="s">
        <v>864</v>
      </c>
      <c r="B431" s="14">
        <v>45590</v>
      </c>
      <c r="C431" s="5" t="s">
        <v>690</v>
      </c>
      <c r="D431" s="10" t="s">
        <v>14</v>
      </c>
      <c r="E431" s="10" t="s">
        <v>502</v>
      </c>
      <c r="F431" s="10" t="s">
        <v>22</v>
      </c>
      <c r="G431" s="15">
        <v>1</v>
      </c>
      <c r="H431" s="11">
        <v>3682.0532999999996</v>
      </c>
      <c r="I431" s="12">
        <v>0</v>
      </c>
      <c r="J431" s="11">
        <v>3682.0532999999996</v>
      </c>
      <c r="K431" s="11">
        <v>2392.2464</v>
      </c>
      <c r="L431" s="10" t="s">
        <v>23</v>
      </c>
      <c r="M431" s="5">
        <f t="shared" si="36"/>
        <v>2024</v>
      </c>
      <c r="N431" s="5">
        <f t="shared" si="37"/>
        <v>10</v>
      </c>
      <c r="O431" s="21">
        <f t="shared" si="38"/>
        <v>45566</v>
      </c>
      <c r="P431" s="13">
        <f t="shared" si="39"/>
        <v>0.6497044461578001</v>
      </c>
      <c r="Q431" s="5">
        <f t="shared" si="40"/>
        <v>202410</v>
      </c>
      <c r="R431" s="21">
        <f t="shared" si="41"/>
        <v>45566</v>
      </c>
    </row>
    <row r="432" spans="1:18" x14ac:dyDescent="0.25">
      <c r="A432" s="5" t="s">
        <v>865</v>
      </c>
      <c r="B432" s="14">
        <v>45620</v>
      </c>
      <c r="C432" s="5" t="s">
        <v>866</v>
      </c>
      <c r="D432" s="10" t="s">
        <v>37</v>
      </c>
      <c r="E432" s="10" t="s">
        <v>118</v>
      </c>
      <c r="F432" s="10" t="s">
        <v>49</v>
      </c>
      <c r="G432" s="15">
        <v>1</v>
      </c>
      <c r="H432" s="11">
        <v>5946.5492000000004</v>
      </c>
      <c r="I432" s="12">
        <v>20</v>
      </c>
      <c r="J432" s="11">
        <v>4757.0501000000004</v>
      </c>
      <c r="K432" s="11">
        <v>2026.9746</v>
      </c>
      <c r="L432" s="10" t="s">
        <v>23</v>
      </c>
      <c r="M432" s="5">
        <f t="shared" si="36"/>
        <v>2024</v>
      </c>
      <c r="N432" s="5">
        <f t="shared" si="37"/>
        <v>11</v>
      </c>
      <c r="O432" s="21">
        <f t="shared" si="38"/>
        <v>45597</v>
      </c>
      <c r="P432" s="13">
        <f t="shared" si="39"/>
        <v>0.42609906504873679</v>
      </c>
      <c r="Q432" s="5">
        <f t="shared" si="40"/>
        <v>202411</v>
      </c>
      <c r="R432" s="21">
        <f t="shared" si="41"/>
        <v>45597</v>
      </c>
    </row>
    <row r="433" spans="1:18" x14ac:dyDescent="0.25">
      <c r="A433" s="5" t="s">
        <v>867</v>
      </c>
      <c r="B433" s="14">
        <v>45562</v>
      </c>
      <c r="C433" s="5" t="s">
        <v>868</v>
      </c>
      <c r="D433" s="10" t="s">
        <v>20</v>
      </c>
      <c r="E433" s="10" t="s">
        <v>74</v>
      </c>
      <c r="F433" s="10" t="s">
        <v>75</v>
      </c>
      <c r="G433" s="15">
        <v>1</v>
      </c>
      <c r="H433" s="11">
        <v>5351.3264999999992</v>
      </c>
      <c r="I433" s="12">
        <v>5</v>
      </c>
      <c r="J433" s="11">
        <v>5083.5235999999995</v>
      </c>
      <c r="K433" s="11">
        <v>833.69029999999998</v>
      </c>
      <c r="L433" s="10" t="s">
        <v>17</v>
      </c>
      <c r="M433" s="5">
        <f t="shared" si="36"/>
        <v>2024</v>
      </c>
      <c r="N433" s="5">
        <f t="shared" si="37"/>
        <v>9</v>
      </c>
      <c r="O433" s="21">
        <f t="shared" si="38"/>
        <v>45536</v>
      </c>
      <c r="P433" s="13">
        <f t="shared" si="39"/>
        <v>0.16399851079672376</v>
      </c>
      <c r="Q433" s="5">
        <f t="shared" si="40"/>
        <v>202409</v>
      </c>
      <c r="R433" s="21">
        <f t="shared" si="41"/>
        <v>45536</v>
      </c>
    </row>
    <row r="434" spans="1:18" x14ac:dyDescent="0.25">
      <c r="A434" s="5" t="s">
        <v>869</v>
      </c>
      <c r="B434" s="14">
        <v>45327</v>
      </c>
      <c r="C434" s="5" t="s">
        <v>647</v>
      </c>
      <c r="D434" s="10" t="s">
        <v>42</v>
      </c>
      <c r="E434" s="10" t="s">
        <v>55</v>
      </c>
      <c r="F434" s="10" t="s">
        <v>16</v>
      </c>
      <c r="G434" s="15">
        <v>3</v>
      </c>
      <c r="H434" s="11">
        <v>10996.952299999999</v>
      </c>
      <c r="I434" s="12">
        <v>0</v>
      </c>
      <c r="J434" s="11">
        <v>32990.856899999999</v>
      </c>
      <c r="K434" s="11">
        <v>3336.6537999999996</v>
      </c>
      <c r="L434" s="10" t="s">
        <v>17</v>
      </c>
      <c r="M434" s="5">
        <f t="shared" si="36"/>
        <v>2024</v>
      </c>
      <c r="N434" s="5">
        <f t="shared" si="37"/>
        <v>2</v>
      </c>
      <c r="O434" s="21">
        <f t="shared" si="38"/>
        <v>45323</v>
      </c>
      <c r="P434" s="13">
        <f t="shared" si="39"/>
        <v>0.10113874308005621</v>
      </c>
      <c r="Q434" s="5">
        <f t="shared" si="40"/>
        <v>202402</v>
      </c>
      <c r="R434" s="21">
        <f t="shared" si="41"/>
        <v>45323</v>
      </c>
    </row>
    <row r="435" spans="1:18" x14ac:dyDescent="0.25">
      <c r="A435" s="5" t="s">
        <v>870</v>
      </c>
      <c r="B435" s="14">
        <v>45345</v>
      </c>
      <c r="C435" s="5" t="s">
        <v>871</v>
      </c>
      <c r="D435" s="10" t="s">
        <v>26</v>
      </c>
      <c r="E435" s="10" t="s">
        <v>232</v>
      </c>
      <c r="F435" s="10" t="s">
        <v>22</v>
      </c>
      <c r="G435" s="15">
        <v>1</v>
      </c>
      <c r="H435" s="11">
        <v>3312.0499999999997</v>
      </c>
      <c r="I435" s="12">
        <v>5</v>
      </c>
      <c r="J435" s="11">
        <v>3146.4474999999998</v>
      </c>
      <c r="K435" s="11">
        <v>1437.4296999999999</v>
      </c>
      <c r="L435" s="10" t="s">
        <v>23</v>
      </c>
      <c r="M435" s="5">
        <f t="shared" si="36"/>
        <v>2024</v>
      </c>
      <c r="N435" s="5">
        <f t="shared" si="37"/>
        <v>2</v>
      </c>
      <c r="O435" s="21">
        <f t="shared" si="38"/>
        <v>45323</v>
      </c>
      <c r="P435" s="13">
        <f t="shared" si="39"/>
        <v>0.45684210526315788</v>
      </c>
      <c r="Q435" s="5">
        <f t="shared" si="40"/>
        <v>202402</v>
      </c>
      <c r="R435" s="21">
        <f t="shared" si="41"/>
        <v>45323</v>
      </c>
    </row>
    <row r="436" spans="1:18" x14ac:dyDescent="0.25">
      <c r="A436" s="5" t="s">
        <v>872</v>
      </c>
      <c r="B436" s="14">
        <v>45677</v>
      </c>
      <c r="C436" s="5" t="s">
        <v>693</v>
      </c>
      <c r="D436" s="10" t="s">
        <v>37</v>
      </c>
      <c r="E436" s="10" t="s">
        <v>27</v>
      </c>
      <c r="F436" s="10" t="s">
        <v>22</v>
      </c>
      <c r="G436" s="15">
        <v>2</v>
      </c>
      <c r="H436" s="11">
        <v>1460.1408999999999</v>
      </c>
      <c r="I436" s="12">
        <v>5</v>
      </c>
      <c r="J436" s="11">
        <v>2774.5515999999998</v>
      </c>
      <c r="K436" s="11">
        <v>1741.1919999999998</v>
      </c>
      <c r="L436" s="10" t="s">
        <v>17</v>
      </c>
      <c r="M436" s="5">
        <f t="shared" si="36"/>
        <v>2025</v>
      </c>
      <c r="N436" s="5">
        <f t="shared" si="37"/>
        <v>1</v>
      </c>
      <c r="O436" s="21">
        <f t="shared" si="38"/>
        <v>45658</v>
      </c>
      <c r="P436" s="13">
        <f t="shared" si="39"/>
        <v>0.62755798090040926</v>
      </c>
      <c r="Q436" s="5">
        <f t="shared" si="40"/>
        <v>202501</v>
      </c>
      <c r="R436" s="21">
        <f t="shared" si="41"/>
        <v>45658</v>
      </c>
    </row>
    <row r="437" spans="1:18" x14ac:dyDescent="0.25">
      <c r="A437" s="5" t="s">
        <v>873</v>
      </c>
      <c r="B437" s="14">
        <v>45932</v>
      </c>
      <c r="C437" s="5" t="s">
        <v>874</v>
      </c>
      <c r="D437" s="10" t="s">
        <v>42</v>
      </c>
      <c r="E437" s="10" t="s">
        <v>151</v>
      </c>
      <c r="F437" s="10" t="s">
        <v>39</v>
      </c>
      <c r="G437" s="15">
        <v>2</v>
      </c>
      <c r="H437" s="11">
        <v>4877.2302</v>
      </c>
      <c r="I437" s="12">
        <v>0</v>
      </c>
      <c r="J437" s="11">
        <v>9754.4603999999999</v>
      </c>
      <c r="K437" s="11">
        <v>3109.5418</v>
      </c>
      <c r="L437" s="10" t="s">
        <v>23</v>
      </c>
      <c r="M437" s="5">
        <f t="shared" si="36"/>
        <v>2025</v>
      </c>
      <c r="N437" s="5">
        <f t="shared" si="37"/>
        <v>10</v>
      </c>
      <c r="O437" s="21">
        <f t="shared" si="38"/>
        <v>45931</v>
      </c>
      <c r="P437" s="13">
        <f t="shared" si="39"/>
        <v>0.31878152890958478</v>
      </c>
      <c r="Q437" s="5">
        <f t="shared" si="40"/>
        <v>202510</v>
      </c>
      <c r="R437" s="21">
        <f t="shared" si="41"/>
        <v>45931</v>
      </c>
    </row>
    <row r="438" spans="1:18" x14ac:dyDescent="0.25">
      <c r="A438" s="5" t="s">
        <v>875</v>
      </c>
      <c r="B438" s="14">
        <v>45368</v>
      </c>
      <c r="C438" s="5" t="s">
        <v>876</v>
      </c>
      <c r="D438" s="10" t="s">
        <v>20</v>
      </c>
      <c r="E438" s="10" t="s">
        <v>55</v>
      </c>
      <c r="F438" s="10" t="s">
        <v>16</v>
      </c>
      <c r="G438" s="15">
        <v>5</v>
      </c>
      <c r="H438" s="11">
        <v>3435.0689999999995</v>
      </c>
      <c r="I438" s="12">
        <v>5</v>
      </c>
      <c r="J438" s="11">
        <v>16317.0509</v>
      </c>
      <c r="K438" s="11">
        <v>2333.5758000000001</v>
      </c>
      <c r="L438" s="10" t="s">
        <v>34</v>
      </c>
      <c r="M438" s="5">
        <f t="shared" si="36"/>
        <v>2024</v>
      </c>
      <c r="N438" s="5">
        <f t="shared" si="37"/>
        <v>3</v>
      </c>
      <c r="O438" s="21">
        <f t="shared" si="38"/>
        <v>45352</v>
      </c>
      <c r="P438" s="13">
        <f t="shared" si="39"/>
        <v>0.14301455663167661</v>
      </c>
      <c r="Q438" s="5">
        <f t="shared" si="40"/>
        <v>202403</v>
      </c>
      <c r="R438" s="21">
        <f t="shared" si="41"/>
        <v>45352</v>
      </c>
    </row>
    <row r="439" spans="1:18" x14ac:dyDescent="0.25">
      <c r="A439" s="5" t="s">
        <v>877</v>
      </c>
      <c r="B439" s="14">
        <v>45307</v>
      </c>
      <c r="C439" s="5" t="s">
        <v>425</v>
      </c>
      <c r="D439" s="10" t="s">
        <v>26</v>
      </c>
      <c r="E439" s="10" t="s">
        <v>154</v>
      </c>
      <c r="F439" s="10" t="s">
        <v>39</v>
      </c>
      <c r="G439" s="15">
        <v>2</v>
      </c>
      <c r="H439" s="11">
        <v>4652.9570999999996</v>
      </c>
      <c r="I439" s="12">
        <v>5</v>
      </c>
      <c r="J439" s="11">
        <v>8840.3346000000001</v>
      </c>
      <c r="K439" s="11">
        <v>3139.8233999999998</v>
      </c>
      <c r="L439" s="10" t="s">
        <v>23</v>
      </c>
      <c r="M439" s="5">
        <f t="shared" si="36"/>
        <v>2024</v>
      </c>
      <c r="N439" s="5">
        <f t="shared" si="37"/>
        <v>1</v>
      </c>
      <c r="O439" s="21">
        <f t="shared" si="38"/>
        <v>45292</v>
      </c>
      <c r="P439" s="13">
        <f t="shared" si="39"/>
        <v>0.35517019910083492</v>
      </c>
      <c r="Q439" s="5">
        <f t="shared" si="40"/>
        <v>202401</v>
      </c>
      <c r="R439" s="21">
        <f t="shared" si="41"/>
        <v>45292</v>
      </c>
    </row>
    <row r="440" spans="1:18" x14ac:dyDescent="0.25">
      <c r="A440" s="5" t="s">
        <v>878</v>
      </c>
      <c r="B440" s="14">
        <v>45503</v>
      </c>
      <c r="C440" s="5" t="s">
        <v>879</v>
      </c>
      <c r="D440" s="10" t="s">
        <v>20</v>
      </c>
      <c r="E440" s="10" t="s">
        <v>52</v>
      </c>
      <c r="F440" s="10" t="s">
        <v>39</v>
      </c>
      <c r="G440" s="15">
        <v>2</v>
      </c>
      <c r="H440" s="11">
        <v>3672.5902999999998</v>
      </c>
      <c r="I440" s="12">
        <v>15</v>
      </c>
      <c r="J440" s="11">
        <v>6243.6873999999998</v>
      </c>
      <c r="K440" s="11">
        <v>1674.0047</v>
      </c>
      <c r="L440" s="10" t="s">
        <v>23</v>
      </c>
      <c r="M440" s="5">
        <f t="shared" si="36"/>
        <v>2024</v>
      </c>
      <c r="N440" s="5">
        <f t="shared" si="37"/>
        <v>7</v>
      </c>
      <c r="O440" s="21">
        <f t="shared" si="38"/>
        <v>45474</v>
      </c>
      <c r="P440" s="13">
        <f t="shared" si="39"/>
        <v>0.26811154895422856</v>
      </c>
      <c r="Q440" s="5">
        <f t="shared" si="40"/>
        <v>202407</v>
      </c>
      <c r="R440" s="21">
        <f t="shared" si="41"/>
        <v>45474</v>
      </c>
    </row>
    <row r="441" spans="1:18" x14ac:dyDescent="0.25">
      <c r="A441" s="5" t="s">
        <v>880</v>
      </c>
      <c r="B441" s="14">
        <v>45438</v>
      </c>
      <c r="C441" s="5" t="s">
        <v>535</v>
      </c>
      <c r="D441" s="10" t="s">
        <v>14</v>
      </c>
      <c r="E441" s="10" t="s">
        <v>74</v>
      </c>
      <c r="F441" s="10" t="s">
        <v>75</v>
      </c>
      <c r="G441" s="15">
        <v>2</v>
      </c>
      <c r="H441" s="11">
        <v>3647.9864999999995</v>
      </c>
      <c r="I441" s="12">
        <v>0</v>
      </c>
      <c r="J441" s="11">
        <v>7295.972999999999</v>
      </c>
      <c r="K441" s="11">
        <v>1145.9693</v>
      </c>
      <c r="L441" s="10" t="s">
        <v>17</v>
      </c>
      <c r="M441" s="5">
        <f t="shared" si="36"/>
        <v>2024</v>
      </c>
      <c r="N441" s="5">
        <f t="shared" si="37"/>
        <v>5</v>
      </c>
      <c r="O441" s="21">
        <f t="shared" si="38"/>
        <v>45413</v>
      </c>
      <c r="P441" s="13">
        <f t="shared" si="39"/>
        <v>0.15706874189364464</v>
      </c>
      <c r="Q441" s="5">
        <f t="shared" si="40"/>
        <v>202405</v>
      </c>
      <c r="R441" s="21">
        <f t="shared" si="41"/>
        <v>45413</v>
      </c>
    </row>
    <row r="442" spans="1:18" x14ac:dyDescent="0.25">
      <c r="A442" s="5" t="s">
        <v>881</v>
      </c>
      <c r="B442" s="14">
        <v>45655</v>
      </c>
      <c r="C442" s="5" t="s">
        <v>882</v>
      </c>
      <c r="D442" s="10" t="s">
        <v>42</v>
      </c>
      <c r="E442" s="10" t="s">
        <v>460</v>
      </c>
      <c r="F442" s="10" t="s">
        <v>75</v>
      </c>
      <c r="G442" s="15">
        <v>2</v>
      </c>
      <c r="H442" s="11">
        <v>1424.1814999999999</v>
      </c>
      <c r="I442" s="12">
        <v>0</v>
      </c>
      <c r="J442" s="11">
        <v>2848.3629999999998</v>
      </c>
      <c r="K442" s="11">
        <v>508.16309999999999</v>
      </c>
      <c r="L442" s="10" t="s">
        <v>34</v>
      </c>
      <c r="M442" s="5">
        <f t="shared" si="36"/>
        <v>2024</v>
      </c>
      <c r="N442" s="5">
        <f t="shared" si="37"/>
        <v>12</v>
      </c>
      <c r="O442" s="21">
        <f t="shared" si="38"/>
        <v>45627</v>
      </c>
      <c r="P442" s="13">
        <f t="shared" si="39"/>
        <v>0.17840531561461795</v>
      </c>
      <c r="Q442" s="5">
        <f t="shared" si="40"/>
        <v>202412</v>
      </c>
      <c r="R442" s="21">
        <f t="shared" si="41"/>
        <v>45627</v>
      </c>
    </row>
    <row r="443" spans="1:18" x14ac:dyDescent="0.25">
      <c r="A443" s="5" t="s">
        <v>883</v>
      </c>
      <c r="B443" s="14">
        <v>45400</v>
      </c>
      <c r="C443" s="5" t="s">
        <v>496</v>
      </c>
      <c r="D443" s="10" t="s">
        <v>20</v>
      </c>
      <c r="E443" s="10" t="s">
        <v>61</v>
      </c>
      <c r="F443" s="10" t="s">
        <v>39</v>
      </c>
      <c r="G443" s="15">
        <v>3</v>
      </c>
      <c r="H443" s="11">
        <v>2106.4638</v>
      </c>
      <c r="I443" s="12">
        <v>5</v>
      </c>
      <c r="J443" s="11">
        <v>6003.3271999999997</v>
      </c>
      <c r="K443" s="11">
        <v>1857.5868999999998</v>
      </c>
      <c r="L443" s="10" t="s">
        <v>23</v>
      </c>
      <c r="M443" s="5">
        <f t="shared" si="36"/>
        <v>2024</v>
      </c>
      <c r="N443" s="5">
        <f t="shared" si="37"/>
        <v>4</v>
      </c>
      <c r="O443" s="21">
        <f t="shared" si="38"/>
        <v>45383</v>
      </c>
      <c r="P443" s="13">
        <f t="shared" si="39"/>
        <v>0.3094262295081967</v>
      </c>
      <c r="Q443" s="5">
        <f t="shared" si="40"/>
        <v>202404</v>
      </c>
      <c r="R443" s="21">
        <f t="shared" si="41"/>
        <v>45383</v>
      </c>
    </row>
    <row r="444" spans="1:18" x14ac:dyDescent="0.25">
      <c r="A444" s="5" t="s">
        <v>884</v>
      </c>
      <c r="B444" s="14">
        <v>46004</v>
      </c>
      <c r="C444" s="5" t="s">
        <v>773</v>
      </c>
      <c r="D444" s="10" t="s">
        <v>14</v>
      </c>
      <c r="E444" s="10" t="s">
        <v>88</v>
      </c>
      <c r="F444" s="10" t="s">
        <v>22</v>
      </c>
      <c r="G444" s="15">
        <v>4</v>
      </c>
      <c r="H444" s="11">
        <v>3216.4737</v>
      </c>
      <c r="I444" s="12">
        <v>5</v>
      </c>
      <c r="J444" s="11">
        <v>12222.4108</v>
      </c>
      <c r="K444" s="11">
        <v>7856.1825999999992</v>
      </c>
      <c r="L444" s="10" t="s">
        <v>34</v>
      </c>
      <c r="M444" s="5">
        <f t="shared" si="36"/>
        <v>2025</v>
      </c>
      <c r="N444" s="5">
        <f t="shared" si="37"/>
        <v>12</v>
      </c>
      <c r="O444" s="21">
        <f t="shared" si="38"/>
        <v>45992</v>
      </c>
      <c r="P444" s="13">
        <f t="shared" si="39"/>
        <v>0.64276865902756264</v>
      </c>
      <c r="Q444" s="5">
        <f t="shared" si="40"/>
        <v>202512</v>
      </c>
      <c r="R444" s="21">
        <f t="shared" si="41"/>
        <v>45992</v>
      </c>
    </row>
    <row r="445" spans="1:18" x14ac:dyDescent="0.25">
      <c r="A445" s="5" t="s">
        <v>885</v>
      </c>
      <c r="B445" s="14">
        <v>45524</v>
      </c>
      <c r="C445" s="5" t="s">
        <v>361</v>
      </c>
      <c r="D445" s="10" t="s">
        <v>42</v>
      </c>
      <c r="E445" s="10" t="s">
        <v>232</v>
      </c>
      <c r="F445" s="10" t="s">
        <v>22</v>
      </c>
      <c r="G445" s="15">
        <v>3</v>
      </c>
      <c r="H445" s="11">
        <v>2892.8390999999997</v>
      </c>
      <c r="I445" s="12">
        <v>20</v>
      </c>
      <c r="J445" s="11">
        <v>6943.0030999999999</v>
      </c>
      <c r="K445" s="11">
        <v>4315.1279999999997</v>
      </c>
      <c r="L445" s="10" t="s">
        <v>23</v>
      </c>
      <c r="M445" s="5">
        <f t="shared" si="36"/>
        <v>2024</v>
      </c>
      <c r="N445" s="5">
        <f t="shared" si="37"/>
        <v>8</v>
      </c>
      <c r="O445" s="21">
        <f t="shared" si="38"/>
        <v>45505</v>
      </c>
      <c r="P445" s="13">
        <f t="shared" si="39"/>
        <v>0.62150742810412973</v>
      </c>
      <c r="Q445" s="5">
        <f t="shared" si="40"/>
        <v>202408</v>
      </c>
      <c r="R445" s="21">
        <f t="shared" si="41"/>
        <v>45505</v>
      </c>
    </row>
    <row r="446" spans="1:18" x14ac:dyDescent="0.25">
      <c r="A446" s="5" t="s">
        <v>886</v>
      </c>
      <c r="B446" s="14">
        <v>45345</v>
      </c>
      <c r="C446" s="5" t="s">
        <v>887</v>
      </c>
      <c r="D446" s="10" t="s">
        <v>20</v>
      </c>
      <c r="E446" s="10" t="s">
        <v>141</v>
      </c>
      <c r="F446" s="10" t="s">
        <v>16</v>
      </c>
      <c r="G446" s="15">
        <v>3</v>
      </c>
      <c r="H446" s="11">
        <v>5324.8301000000001</v>
      </c>
      <c r="I446" s="12">
        <v>0</v>
      </c>
      <c r="J446" s="11">
        <v>15974.490299999999</v>
      </c>
      <c r="K446" s="11">
        <v>2599.4860999999996</v>
      </c>
      <c r="L446" s="10" t="s">
        <v>34</v>
      </c>
      <c r="M446" s="5">
        <f t="shared" si="36"/>
        <v>2024</v>
      </c>
      <c r="N446" s="5">
        <f t="shared" si="37"/>
        <v>2</v>
      </c>
      <c r="O446" s="21">
        <f t="shared" si="38"/>
        <v>45323</v>
      </c>
      <c r="P446" s="13">
        <f t="shared" si="39"/>
        <v>0.16272732658017888</v>
      </c>
      <c r="Q446" s="5">
        <f t="shared" si="40"/>
        <v>202402</v>
      </c>
      <c r="R446" s="21">
        <f t="shared" si="41"/>
        <v>45323</v>
      </c>
    </row>
    <row r="447" spans="1:18" x14ac:dyDescent="0.25">
      <c r="A447" s="5" t="s">
        <v>888</v>
      </c>
      <c r="B447" s="14">
        <v>45637</v>
      </c>
      <c r="C447" s="5" t="s">
        <v>889</v>
      </c>
      <c r="D447" s="10" t="s">
        <v>14</v>
      </c>
      <c r="E447" s="10" t="s">
        <v>286</v>
      </c>
      <c r="F447" s="10" t="s">
        <v>39</v>
      </c>
      <c r="G447" s="15">
        <v>1</v>
      </c>
      <c r="H447" s="11">
        <v>2703.5790999999999</v>
      </c>
      <c r="I447" s="12">
        <v>15</v>
      </c>
      <c r="J447" s="11">
        <v>2297.6163999999999</v>
      </c>
      <c r="K447" s="11">
        <v>806.24759999999992</v>
      </c>
      <c r="L447" s="10" t="s">
        <v>34</v>
      </c>
      <c r="M447" s="5">
        <f t="shared" si="36"/>
        <v>2024</v>
      </c>
      <c r="N447" s="5">
        <f t="shared" si="37"/>
        <v>12</v>
      </c>
      <c r="O447" s="21">
        <f t="shared" si="38"/>
        <v>45627</v>
      </c>
      <c r="P447" s="13">
        <f t="shared" si="39"/>
        <v>0.35090609555189456</v>
      </c>
      <c r="Q447" s="5">
        <f t="shared" si="40"/>
        <v>202412</v>
      </c>
      <c r="R447" s="21">
        <f t="shared" si="41"/>
        <v>45627</v>
      </c>
    </row>
    <row r="448" spans="1:18" x14ac:dyDescent="0.25">
      <c r="A448" s="5" t="s">
        <v>890</v>
      </c>
      <c r="B448" s="14">
        <v>45475</v>
      </c>
      <c r="C448" s="5" t="s">
        <v>433</v>
      </c>
      <c r="D448" s="10" t="s">
        <v>26</v>
      </c>
      <c r="E448" s="10" t="s">
        <v>227</v>
      </c>
      <c r="F448" s="10" t="s">
        <v>39</v>
      </c>
      <c r="G448" s="15">
        <v>3</v>
      </c>
      <c r="H448" s="11">
        <v>1259.5253</v>
      </c>
      <c r="I448" s="12">
        <v>20</v>
      </c>
      <c r="J448" s="11">
        <v>3022.4821999999999</v>
      </c>
      <c r="K448" s="11">
        <v>1202.7473</v>
      </c>
      <c r="L448" s="10" t="s">
        <v>34</v>
      </c>
      <c r="M448" s="5">
        <f t="shared" si="36"/>
        <v>2024</v>
      </c>
      <c r="N448" s="5">
        <f t="shared" si="37"/>
        <v>7</v>
      </c>
      <c r="O448" s="21">
        <f t="shared" si="38"/>
        <v>45474</v>
      </c>
      <c r="P448" s="13">
        <f t="shared" si="39"/>
        <v>0.39793362554790235</v>
      </c>
      <c r="Q448" s="5">
        <f t="shared" si="40"/>
        <v>202407</v>
      </c>
      <c r="R448" s="21">
        <f t="shared" si="41"/>
        <v>45474</v>
      </c>
    </row>
    <row r="449" spans="1:18" x14ac:dyDescent="0.25">
      <c r="A449" s="5" t="s">
        <v>891</v>
      </c>
      <c r="B449" s="14">
        <v>45997</v>
      </c>
      <c r="C449" s="5" t="s">
        <v>892</v>
      </c>
      <c r="D449" s="10" t="s">
        <v>20</v>
      </c>
      <c r="E449" s="10" t="s">
        <v>21</v>
      </c>
      <c r="F449" s="10" t="s">
        <v>22</v>
      </c>
      <c r="G449" s="15">
        <v>1</v>
      </c>
      <c r="H449" s="11">
        <v>3470.0821000000001</v>
      </c>
      <c r="I449" s="12">
        <v>5</v>
      </c>
      <c r="J449" s="11">
        <v>3296.9092000000001</v>
      </c>
      <c r="K449" s="11">
        <v>2093.2156</v>
      </c>
      <c r="L449" s="10" t="s">
        <v>23</v>
      </c>
      <c r="M449" s="5">
        <f t="shared" si="36"/>
        <v>2025</v>
      </c>
      <c r="N449" s="5">
        <f t="shared" si="37"/>
        <v>12</v>
      </c>
      <c r="O449" s="21">
        <f t="shared" si="38"/>
        <v>45992</v>
      </c>
      <c r="P449" s="13">
        <f t="shared" si="39"/>
        <v>0.63490241102181399</v>
      </c>
      <c r="Q449" s="5">
        <f t="shared" si="40"/>
        <v>202512</v>
      </c>
      <c r="R449" s="21">
        <f t="shared" si="41"/>
        <v>45992</v>
      </c>
    </row>
    <row r="450" spans="1:18" x14ac:dyDescent="0.25">
      <c r="A450" s="5" t="s">
        <v>893</v>
      </c>
      <c r="B450" s="14">
        <v>45377</v>
      </c>
      <c r="C450" s="5" t="s">
        <v>894</v>
      </c>
      <c r="D450" s="10" t="s">
        <v>20</v>
      </c>
      <c r="E450" s="10" t="s">
        <v>269</v>
      </c>
      <c r="F450" s="10" t="s">
        <v>75</v>
      </c>
      <c r="G450" s="15">
        <v>1</v>
      </c>
      <c r="H450" s="11">
        <v>1871.7814000000001</v>
      </c>
      <c r="I450" s="12">
        <v>0</v>
      </c>
      <c r="J450" s="11">
        <v>1871.7814000000001</v>
      </c>
      <c r="K450" s="11">
        <v>309.44009999999997</v>
      </c>
      <c r="L450" s="10" t="s">
        <v>23</v>
      </c>
      <c r="M450" s="5">
        <f t="shared" ref="M450:M513" si="42">YEAR(B450)</f>
        <v>2024</v>
      </c>
      <c r="N450" s="5">
        <f t="shared" ref="N450:N513" si="43">MONTH(B450)</f>
        <v>3</v>
      </c>
      <c r="O450" s="21">
        <f t="shared" ref="O450:O513" si="44">DATE(YEAR(B450),MONTH(B450),1)</f>
        <v>45352</v>
      </c>
      <c r="P450" s="13">
        <f t="shared" ref="P450:P513" si="45">(K450/J450)</f>
        <v>0.16531850353892819</v>
      </c>
      <c r="Q450" s="5">
        <f t="shared" ref="Q450:Q513" si="46">YEAR(B450)*100+MONTH(B450)</f>
        <v>202403</v>
      </c>
      <c r="R450" s="21">
        <f t="shared" ref="R450:R513" si="47">DATE(YEAR(B450),MONTH(B450),1)</f>
        <v>45352</v>
      </c>
    </row>
    <row r="451" spans="1:18" x14ac:dyDescent="0.25">
      <c r="A451" s="5" t="s">
        <v>895</v>
      </c>
      <c r="B451" s="14">
        <v>45390</v>
      </c>
      <c r="C451" s="5" t="s">
        <v>896</v>
      </c>
      <c r="D451" s="10" t="s">
        <v>14</v>
      </c>
      <c r="E451" s="10" t="s">
        <v>83</v>
      </c>
      <c r="F451" s="10" t="s">
        <v>22</v>
      </c>
      <c r="G451" s="15">
        <v>1</v>
      </c>
      <c r="H451" s="11">
        <v>1740.2456999999999</v>
      </c>
      <c r="I451" s="12">
        <v>10</v>
      </c>
      <c r="J451" s="11">
        <v>1566.1265000000001</v>
      </c>
      <c r="K451" s="11">
        <v>750.41589999999997</v>
      </c>
      <c r="L451" s="10" t="s">
        <v>23</v>
      </c>
      <c r="M451" s="5">
        <f t="shared" si="42"/>
        <v>2024</v>
      </c>
      <c r="N451" s="5">
        <f t="shared" si="43"/>
        <v>4</v>
      </c>
      <c r="O451" s="21">
        <f t="shared" si="44"/>
        <v>45383</v>
      </c>
      <c r="P451" s="13">
        <f t="shared" si="45"/>
        <v>0.47915407854984887</v>
      </c>
      <c r="Q451" s="5">
        <f t="shared" si="46"/>
        <v>202404</v>
      </c>
      <c r="R451" s="21">
        <f t="shared" si="47"/>
        <v>45383</v>
      </c>
    </row>
    <row r="452" spans="1:18" x14ac:dyDescent="0.25">
      <c r="A452" s="5" t="s">
        <v>897</v>
      </c>
      <c r="B452" s="14">
        <v>46007</v>
      </c>
      <c r="C452" s="5" t="s">
        <v>898</v>
      </c>
      <c r="D452" s="10" t="s">
        <v>20</v>
      </c>
      <c r="E452" s="10" t="s">
        <v>133</v>
      </c>
      <c r="F452" s="10" t="s">
        <v>75</v>
      </c>
      <c r="G452" s="15">
        <v>2</v>
      </c>
      <c r="H452" s="11">
        <v>4288.6315999999997</v>
      </c>
      <c r="I452" s="12">
        <v>5</v>
      </c>
      <c r="J452" s="11">
        <v>8148.5892999999996</v>
      </c>
      <c r="K452" s="11">
        <v>2195.4159999999997</v>
      </c>
      <c r="L452" s="10" t="s">
        <v>17</v>
      </c>
      <c r="M452" s="5">
        <f t="shared" si="42"/>
        <v>2025</v>
      </c>
      <c r="N452" s="5">
        <f t="shared" si="43"/>
        <v>12</v>
      </c>
      <c r="O452" s="21">
        <f t="shared" si="44"/>
        <v>45992</v>
      </c>
      <c r="P452" s="13">
        <f t="shared" si="45"/>
        <v>0.26942283126233885</v>
      </c>
      <c r="Q452" s="5">
        <f t="shared" si="46"/>
        <v>202512</v>
      </c>
      <c r="R452" s="21">
        <f t="shared" si="47"/>
        <v>45992</v>
      </c>
    </row>
    <row r="453" spans="1:18" x14ac:dyDescent="0.25">
      <c r="A453" s="5" t="s">
        <v>899</v>
      </c>
      <c r="B453" s="14">
        <v>45914</v>
      </c>
      <c r="C453" s="5" t="s">
        <v>900</v>
      </c>
      <c r="D453" s="10" t="s">
        <v>42</v>
      </c>
      <c r="E453" s="10" t="s">
        <v>324</v>
      </c>
      <c r="F453" s="10" t="s">
        <v>16</v>
      </c>
      <c r="G453" s="15">
        <v>1</v>
      </c>
      <c r="H453" s="11">
        <v>3101.0251000000003</v>
      </c>
      <c r="I453" s="12">
        <v>0</v>
      </c>
      <c r="J453" s="11">
        <v>3101.0251000000003</v>
      </c>
      <c r="K453" s="11">
        <v>546.01509999999996</v>
      </c>
      <c r="L453" s="10" t="s">
        <v>34</v>
      </c>
      <c r="M453" s="5">
        <f t="shared" si="42"/>
        <v>2025</v>
      </c>
      <c r="N453" s="5">
        <f t="shared" si="43"/>
        <v>9</v>
      </c>
      <c r="O453" s="21">
        <f t="shared" si="44"/>
        <v>45901</v>
      </c>
      <c r="P453" s="13">
        <f t="shared" si="45"/>
        <v>0.17607567897467194</v>
      </c>
      <c r="Q453" s="5">
        <f t="shared" si="46"/>
        <v>202509</v>
      </c>
      <c r="R453" s="21">
        <f t="shared" si="47"/>
        <v>45901</v>
      </c>
    </row>
    <row r="454" spans="1:18" x14ac:dyDescent="0.25">
      <c r="A454" s="5" t="s">
        <v>901</v>
      </c>
      <c r="B454" s="14">
        <v>45790</v>
      </c>
      <c r="C454" s="5" t="s">
        <v>427</v>
      </c>
      <c r="D454" s="10" t="s">
        <v>26</v>
      </c>
      <c r="E454" s="10" t="s">
        <v>48</v>
      </c>
      <c r="F454" s="10" t="s">
        <v>49</v>
      </c>
      <c r="G454" s="15">
        <v>1</v>
      </c>
      <c r="H454" s="11">
        <v>7993.3960999999999</v>
      </c>
      <c r="I454" s="12">
        <v>5</v>
      </c>
      <c r="J454" s="11">
        <v>7594.0574999999999</v>
      </c>
      <c r="K454" s="11">
        <v>2377.1055999999999</v>
      </c>
      <c r="L454" s="10" t="s">
        <v>23</v>
      </c>
      <c r="M454" s="5">
        <f t="shared" si="42"/>
        <v>2025</v>
      </c>
      <c r="N454" s="5">
        <f t="shared" si="43"/>
        <v>5</v>
      </c>
      <c r="O454" s="21">
        <f t="shared" si="44"/>
        <v>45778</v>
      </c>
      <c r="P454" s="13">
        <f t="shared" si="45"/>
        <v>0.31302180685358255</v>
      </c>
      <c r="Q454" s="5">
        <f t="shared" si="46"/>
        <v>202505</v>
      </c>
      <c r="R454" s="21">
        <f t="shared" si="47"/>
        <v>45778</v>
      </c>
    </row>
    <row r="455" spans="1:18" x14ac:dyDescent="0.25">
      <c r="A455" s="5" t="s">
        <v>902</v>
      </c>
      <c r="B455" s="14">
        <v>45319</v>
      </c>
      <c r="C455" s="5" t="s">
        <v>903</v>
      </c>
      <c r="D455" s="10" t="s">
        <v>37</v>
      </c>
      <c r="E455" s="10" t="s">
        <v>269</v>
      </c>
      <c r="F455" s="10" t="s">
        <v>75</v>
      </c>
      <c r="G455" s="15">
        <v>3</v>
      </c>
      <c r="H455" s="11">
        <v>1915.3111999999999</v>
      </c>
      <c r="I455" s="12">
        <v>10</v>
      </c>
      <c r="J455" s="11">
        <v>5171.5294999999996</v>
      </c>
      <c r="K455" s="11">
        <v>1522.5966999999998</v>
      </c>
      <c r="L455" s="10" t="s">
        <v>23</v>
      </c>
      <c r="M455" s="5">
        <f t="shared" si="42"/>
        <v>2024</v>
      </c>
      <c r="N455" s="5">
        <f t="shared" si="43"/>
        <v>1</v>
      </c>
      <c r="O455" s="21">
        <f t="shared" si="44"/>
        <v>45292</v>
      </c>
      <c r="P455" s="13">
        <f t="shared" si="45"/>
        <v>0.29441903019213173</v>
      </c>
      <c r="Q455" s="5">
        <f t="shared" si="46"/>
        <v>202401</v>
      </c>
      <c r="R455" s="21">
        <f t="shared" si="47"/>
        <v>45292</v>
      </c>
    </row>
    <row r="456" spans="1:18" x14ac:dyDescent="0.25">
      <c r="A456" s="5" t="s">
        <v>904</v>
      </c>
      <c r="B456" s="14">
        <v>45914</v>
      </c>
      <c r="C456" s="5" t="s">
        <v>905</v>
      </c>
      <c r="D456" s="10" t="s">
        <v>42</v>
      </c>
      <c r="E456" s="10" t="s">
        <v>222</v>
      </c>
      <c r="F456" s="10" t="s">
        <v>22</v>
      </c>
      <c r="G456" s="15">
        <v>3</v>
      </c>
      <c r="H456" s="11">
        <v>2242.7309999999998</v>
      </c>
      <c r="I456" s="12">
        <v>0</v>
      </c>
      <c r="J456" s="11">
        <v>6728.1929999999993</v>
      </c>
      <c r="K456" s="11">
        <v>3524.0212000000001</v>
      </c>
      <c r="L456" s="10" t="s">
        <v>17</v>
      </c>
      <c r="M456" s="5">
        <f t="shared" si="42"/>
        <v>2025</v>
      </c>
      <c r="N456" s="5">
        <f t="shared" si="43"/>
        <v>9</v>
      </c>
      <c r="O456" s="21">
        <f t="shared" si="44"/>
        <v>45901</v>
      </c>
      <c r="P456" s="13">
        <f t="shared" si="45"/>
        <v>0.5237693389592124</v>
      </c>
      <c r="Q456" s="5">
        <f t="shared" si="46"/>
        <v>202509</v>
      </c>
      <c r="R456" s="21">
        <f t="shared" si="47"/>
        <v>45901</v>
      </c>
    </row>
    <row r="457" spans="1:18" x14ac:dyDescent="0.25">
      <c r="A457" s="5" t="s">
        <v>906</v>
      </c>
      <c r="B457" s="14">
        <v>45913</v>
      </c>
      <c r="C457" s="5" t="s">
        <v>907</v>
      </c>
      <c r="D457" s="10" t="s">
        <v>20</v>
      </c>
      <c r="E457" s="10" t="s">
        <v>15</v>
      </c>
      <c r="F457" s="10" t="s">
        <v>16</v>
      </c>
      <c r="G457" s="15">
        <v>1</v>
      </c>
      <c r="H457" s="11">
        <v>3514.5581999999999</v>
      </c>
      <c r="I457" s="12">
        <v>5</v>
      </c>
      <c r="J457" s="11">
        <v>3338.5463999999997</v>
      </c>
      <c r="K457" s="11">
        <v>721.0806</v>
      </c>
      <c r="L457" s="10" t="s">
        <v>34</v>
      </c>
      <c r="M457" s="5">
        <f t="shared" si="42"/>
        <v>2025</v>
      </c>
      <c r="N457" s="5">
        <f t="shared" si="43"/>
        <v>9</v>
      </c>
      <c r="O457" s="21">
        <f t="shared" si="44"/>
        <v>45901</v>
      </c>
      <c r="P457" s="13">
        <f t="shared" si="45"/>
        <v>0.21598639455782315</v>
      </c>
      <c r="Q457" s="5">
        <f t="shared" si="46"/>
        <v>202509</v>
      </c>
      <c r="R457" s="21">
        <f t="shared" si="47"/>
        <v>45901</v>
      </c>
    </row>
    <row r="458" spans="1:18" x14ac:dyDescent="0.25">
      <c r="A458" s="5" t="s">
        <v>908</v>
      </c>
      <c r="B458" s="14">
        <v>45696</v>
      </c>
      <c r="C458" s="5" t="s">
        <v>909</v>
      </c>
      <c r="D458" s="10" t="s">
        <v>37</v>
      </c>
      <c r="E458" s="10" t="s">
        <v>21</v>
      </c>
      <c r="F458" s="10" t="s">
        <v>22</v>
      </c>
      <c r="G458" s="15">
        <v>1</v>
      </c>
      <c r="H458" s="11">
        <v>3233.5070999999998</v>
      </c>
      <c r="I458" s="12">
        <v>0</v>
      </c>
      <c r="J458" s="11">
        <v>3233.5070999999998</v>
      </c>
      <c r="K458" s="11">
        <v>1580.3209999999999</v>
      </c>
      <c r="L458" s="10" t="s">
        <v>17</v>
      </c>
      <c r="M458" s="5">
        <f t="shared" si="42"/>
        <v>2025</v>
      </c>
      <c r="N458" s="5">
        <f t="shared" si="43"/>
        <v>2</v>
      </c>
      <c r="O458" s="21">
        <f t="shared" si="44"/>
        <v>45689</v>
      </c>
      <c r="P458" s="13">
        <f t="shared" si="45"/>
        <v>0.48873280655545803</v>
      </c>
      <c r="Q458" s="5">
        <f t="shared" si="46"/>
        <v>202502</v>
      </c>
      <c r="R458" s="21">
        <f t="shared" si="47"/>
        <v>45689</v>
      </c>
    </row>
    <row r="459" spans="1:18" x14ac:dyDescent="0.25">
      <c r="A459" s="5" t="s">
        <v>910</v>
      </c>
      <c r="B459" s="14">
        <v>45948</v>
      </c>
      <c r="C459" s="5" t="s">
        <v>911</v>
      </c>
      <c r="D459" s="10" t="s">
        <v>37</v>
      </c>
      <c r="E459" s="10" t="s">
        <v>83</v>
      </c>
      <c r="F459" s="10" t="s">
        <v>22</v>
      </c>
      <c r="G459" s="15">
        <v>2</v>
      </c>
      <c r="H459" s="11">
        <v>3659.3420999999998</v>
      </c>
      <c r="I459" s="12">
        <v>0</v>
      </c>
      <c r="J459" s="11">
        <v>7318.6841999999997</v>
      </c>
      <c r="K459" s="11">
        <v>4647.2793000000001</v>
      </c>
      <c r="L459" s="10" t="s">
        <v>17</v>
      </c>
      <c r="M459" s="5">
        <f t="shared" si="42"/>
        <v>2025</v>
      </c>
      <c r="N459" s="5">
        <f t="shared" si="43"/>
        <v>10</v>
      </c>
      <c r="O459" s="21">
        <f t="shared" si="44"/>
        <v>45931</v>
      </c>
      <c r="P459" s="13">
        <f t="shared" si="45"/>
        <v>0.63498836307214901</v>
      </c>
      <c r="Q459" s="5">
        <f t="shared" si="46"/>
        <v>202510</v>
      </c>
      <c r="R459" s="21">
        <f t="shared" si="47"/>
        <v>45931</v>
      </c>
    </row>
    <row r="460" spans="1:18" x14ac:dyDescent="0.25">
      <c r="A460" s="5" t="s">
        <v>912</v>
      </c>
      <c r="B460" s="14">
        <v>45577</v>
      </c>
      <c r="C460" s="5" t="s">
        <v>504</v>
      </c>
      <c r="D460" s="10" t="s">
        <v>42</v>
      </c>
      <c r="E460" s="10" t="s">
        <v>108</v>
      </c>
      <c r="F460" s="10" t="s">
        <v>75</v>
      </c>
      <c r="G460" s="15">
        <v>2</v>
      </c>
      <c r="H460" s="11">
        <v>2872.0205000000001</v>
      </c>
      <c r="I460" s="12">
        <v>20</v>
      </c>
      <c r="J460" s="11">
        <v>4595.2327999999998</v>
      </c>
      <c r="K460" s="11">
        <v>1163.0026999999998</v>
      </c>
      <c r="L460" s="10" t="s">
        <v>17</v>
      </c>
      <c r="M460" s="5">
        <f t="shared" si="42"/>
        <v>2024</v>
      </c>
      <c r="N460" s="5">
        <f t="shared" si="43"/>
        <v>10</v>
      </c>
      <c r="O460" s="21">
        <f t="shared" si="44"/>
        <v>45566</v>
      </c>
      <c r="P460" s="13">
        <f t="shared" si="45"/>
        <v>0.25308896210873144</v>
      </c>
      <c r="Q460" s="5">
        <f t="shared" si="46"/>
        <v>202410</v>
      </c>
      <c r="R460" s="21">
        <f t="shared" si="47"/>
        <v>45566</v>
      </c>
    </row>
    <row r="461" spans="1:18" x14ac:dyDescent="0.25">
      <c r="A461" s="5" t="s">
        <v>913</v>
      </c>
      <c r="B461" s="14">
        <v>45396</v>
      </c>
      <c r="C461" s="5" t="s">
        <v>914</v>
      </c>
      <c r="D461" s="10" t="s">
        <v>20</v>
      </c>
      <c r="E461" s="10" t="s">
        <v>91</v>
      </c>
      <c r="F461" s="10" t="s">
        <v>49</v>
      </c>
      <c r="G461" s="15">
        <v>2</v>
      </c>
      <c r="H461" s="11">
        <v>4924.5451999999996</v>
      </c>
      <c r="I461" s="12">
        <v>0</v>
      </c>
      <c r="J461" s="11">
        <v>9849.0903999999991</v>
      </c>
      <c r="K461" s="11">
        <v>3090.6157999999996</v>
      </c>
      <c r="L461" s="10" t="s">
        <v>17</v>
      </c>
      <c r="M461" s="5">
        <f t="shared" si="42"/>
        <v>2024</v>
      </c>
      <c r="N461" s="5">
        <f t="shared" si="43"/>
        <v>4</v>
      </c>
      <c r="O461" s="21">
        <f t="shared" si="44"/>
        <v>45383</v>
      </c>
      <c r="P461" s="13">
        <f t="shared" si="45"/>
        <v>0.31379707916986932</v>
      </c>
      <c r="Q461" s="5">
        <f t="shared" si="46"/>
        <v>202404</v>
      </c>
      <c r="R461" s="21">
        <f t="shared" si="47"/>
        <v>45383</v>
      </c>
    </row>
    <row r="462" spans="1:18" x14ac:dyDescent="0.25">
      <c r="A462" s="5" t="s">
        <v>915</v>
      </c>
      <c r="B462" s="14">
        <v>45742</v>
      </c>
      <c r="C462" s="5" t="s">
        <v>916</v>
      </c>
      <c r="D462" s="10" t="s">
        <v>26</v>
      </c>
      <c r="E462" s="10" t="s">
        <v>148</v>
      </c>
      <c r="F462" s="10" t="s">
        <v>16</v>
      </c>
      <c r="G462" s="15">
        <v>3</v>
      </c>
      <c r="H462" s="11">
        <v>2781.1756999999998</v>
      </c>
      <c r="I462" s="12">
        <v>5</v>
      </c>
      <c r="J462" s="11">
        <v>7926.2088000000003</v>
      </c>
      <c r="K462" s="11">
        <v>898.03869999999995</v>
      </c>
      <c r="L462" s="10" t="s">
        <v>17</v>
      </c>
      <c r="M462" s="5">
        <f t="shared" si="42"/>
        <v>2025</v>
      </c>
      <c r="N462" s="5">
        <f t="shared" si="43"/>
        <v>3</v>
      </c>
      <c r="O462" s="21">
        <f t="shared" si="44"/>
        <v>45717</v>
      </c>
      <c r="P462" s="13">
        <f t="shared" si="45"/>
        <v>0.11329990448901622</v>
      </c>
      <c r="Q462" s="5">
        <f t="shared" si="46"/>
        <v>202503</v>
      </c>
      <c r="R462" s="21">
        <f t="shared" si="47"/>
        <v>45717</v>
      </c>
    </row>
    <row r="463" spans="1:18" x14ac:dyDescent="0.25">
      <c r="A463" s="5" t="s">
        <v>917</v>
      </c>
      <c r="B463" s="14">
        <v>45623</v>
      </c>
      <c r="C463" s="5" t="s">
        <v>918</v>
      </c>
      <c r="D463" s="10" t="s">
        <v>20</v>
      </c>
      <c r="E463" s="10" t="s">
        <v>502</v>
      </c>
      <c r="F463" s="10" t="s">
        <v>22</v>
      </c>
      <c r="G463" s="15">
        <v>2</v>
      </c>
      <c r="H463" s="11">
        <v>4136.2772999999997</v>
      </c>
      <c r="I463" s="12">
        <v>5</v>
      </c>
      <c r="J463" s="11">
        <v>7859.0214999999989</v>
      </c>
      <c r="K463" s="11">
        <v>4304.7187000000004</v>
      </c>
      <c r="L463" s="10" t="s">
        <v>17</v>
      </c>
      <c r="M463" s="5">
        <f t="shared" si="42"/>
        <v>2024</v>
      </c>
      <c r="N463" s="5">
        <f t="shared" si="43"/>
        <v>11</v>
      </c>
      <c r="O463" s="21">
        <f t="shared" si="44"/>
        <v>45597</v>
      </c>
      <c r="P463" s="13">
        <f t="shared" si="45"/>
        <v>0.54774232390126443</v>
      </c>
      <c r="Q463" s="5">
        <f t="shared" si="46"/>
        <v>202411</v>
      </c>
      <c r="R463" s="21">
        <f t="shared" si="47"/>
        <v>45597</v>
      </c>
    </row>
    <row r="464" spans="1:18" x14ac:dyDescent="0.25">
      <c r="A464" s="5" t="s">
        <v>919</v>
      </c>
      <c r="B464" s="14">
        <v>45471</v>
      </c>
      <c r="C464" s="5" t="s">
        <v>920</v>
      </c>
      <c r="D464" s="10" t="s">
        <v>26</v>
      </c>
      <c r="E464" s="10" t="s">
        <v>460</v>
      </c>
      <c r="F464" s="10" t="s">
        <v>75</v>
      </c>
      <c r="G464" s="15">
        <v>3</v>
      </c>
      <c r="H464" s="11">
        <v>4990.7861999999996</v>
      </c>
      <c r="I464" s="12">
        <v>5</v>
      </c>
      <c r="J464" s="11">
        <v>14223.835299999999</v>
      </c>
      <c r="K464" s="11">
        <v>3175.7828</v>
      </c>
      <c r="L464" s="10" t="s">
        <v>17</v>
      </c>
      <c r="M464" s="5">
        <f t="shared" si="42"/>
        <v>2024</v>
      </c>
      <c r="N464" s="5">
        <f t="shared" si="43"/>
        <v>6</v>
      </c>
      <c r="O464" s="21">
        <f t="shared" si="44"/>
        <v>45444</v>
      </c>
      <c r="P464" s="13">
        <f t="shared" si="45"/>
        <v>0.22327190473022421</v>
      </c>
      <c r="Q464" s="5">
        <f t="shared" si="46"/>
        <v>202406</v>
      </c>
      <c r="R464" s="21">
        <f t="shared" si="47"/>
        <v>45444</v>
      </c>
    </row>
    <row r="465" spans="1:18" x14ac:dyDescent="0.25">
      <c r="A465" s="5" t="s">
        <v>921</v>
      </c>
      <c r="B465" s="14">
        <v>45937</v>
      </c>
      <c r="C465" s="5" t="s">
        <v>922</v>
      </c>
      <c r="D465" s="10" t="s">
        <v>42</v>
      </c>
      <c r="E465" s="10" t="s">
        <v>83</v>
      </c>
      <c r="F465" s="10" t="s">
        <v>22</v>
      </c>
      <c r="G465" s="15">
        <v>2</v>
      </c>
      <c r="H465" s="11">
        <v>3240.1311999999998</v>
      </c>
      <c r="I465" s="12">
        <v>10</v>
      </c>
      <c r="J465" s="11">
        <v>5832.0469000000003</v>
      </c>
      <c r="K465" s="11">
        <v>3125.6289000000002</v>
      </c>
      <c r="L465" s="10" t="s">
        <v>23</v>
      </c>
      <c r="M465" s="5">
        <f t="shared" si="42"/>
        <v>2025</v>
      </c>
      <c r="N465" s="5">
        <f t="shared" si="43"/>
        <v>10</v>
      </c>
      <c r="O465" s="21">
        <f t="shared" si="44"/>
        <v>45931</v>
      </c>
      <c r="P465" s="13">
        <f t="shared" si="45"/>
        <v>0.5359402888203797</v>
      </c>
      <c r="Q465" s="5">
        <f t="shared" si="46"/>
        <v>202510</v>
      </c>
      <c r="R465" s="21">
        <f t="shared" si="47"/>
        <v>45931</v>
      </c>
    </row>
    <row r="466" spans="1:18" x14ac:dyDescent="0.25">
      <c r="A466" s="5" t="s">
        <v>923</v>
      </c>
      <c r="B466" s="14">
        <v>45474</v>
      </c>
      <c r="C466" s="5" t="s">
        <v>609</v>
      </c>
      <c r="D466" s="10" t="s">
        <v>20</v>
      </c>
      <c r="E466" s="10" t="s">
        <v>33</v>
      </c>
      <c r="F466" s="10" t="s">
        <v>16</v>
      </c>
      <c r="G466" s="15">
        <v>1</v>
      </c>
      <c r="H466" s="11">
        <v>10550.298699999999</v>
      </c>
      <c r="I466" s="12">
        <v>15</v>
      </c>
      <c r="J466" s="11">
        <v>8968.0850999999984</v>
      </c>
      <c r="K466" s="11">
        <v>2086.5915</v>
      </c>
      <c r="L466" s="10" t="s">
        <v>23</v>
      </c>
      <c r="M466" s="5">
        <f t="shared" si="42"/>
        <v>2024</v>
      </c>
      <c r="N466" s="5">
        <f t="shared" si="43"/>
        <v>7</v>
      </c>
      <c r="O466" s="21">
        <f t="shared" si="44"/>
        <v>45474</v>
      </c>
      <c r="P466" s="13">
        <f t="shared" si="45"/>
        <v>0.23266856600189936</v>
      </c>
      <c r="Q466" s="5">
        <f t="shared" si="46"/>
        <v>202407</v>
      </c>
      <c r="R466" s="21">
        <f t="shared" si="47"/>
        <v>45474</v>
      </c>
    </row>
    <row r="467" spans="1:18" x14ac:dyDescent="0.25">
      <c r="A467" s="5" t="s">
        <v>924</v>
      </c>
      <c r="B467" s="14">
        <v>45751</v>
      </c>
      <c r="C467" s="5" t="s">
        <v>925</v>
      </c>
      <c r="D467" s="10" t="s">
        <v>20</v>
      </c>
      <c r="E467" s="10" t="s">
        <v>211</v>
      </c>
      <c r="F467" s="10" t="s">
        <v>39</v>
      </c>
      <c r="G467" s="15">
        <v>3</v>
      </c>
      <c r="H467" s="11">
        <v>5923.8379999999997</v>
      </c>
      <c r="I467" s="12">
        <v>15</v>
      </c>
      <c r="J467" s="11">
        <v>15105.786899999999</v>
      </c>
      <c r="K467" s="11">
        <v>3365.9890999999998</v>
      </c>
      <c r="L467" s="10" t="s">
        <v>17</v>
      </c>
      <c r="M467" s="5">
        <f t="shared" si="42"/>
        <v>2025</v>
      </c>
      <c r="N467" s="5">
        <f t="shared" si="43"/>
        <v>4</v>
      </c>
      <c r="O467" s="21">
        <f t="shared" si="44"/>
        <v>45748</v>
      </c>
      <c r="P467" s="13">
        <f t="shared" si="45"/>
        <v>0.22282778926266991</v>
      </c>
      <c r="Q467" s="5">
        <f t="shared" si="46"/>
        <v>202504</v>
      </c>
      <c r="R467" s="21">
        <f t="shared" si="47"/>
        <v>45748</v>
      </c>
    </row>
    <row r="468" spans="1:18" x14ac:dyDescent="0.25">
      <c r="A468" s="5" t="s">
        <v>926</v>
      </c>
      <c r="B468" s="14">
        <v>45511</v>
      </c>
      <c r="C468" s="5" t="s">
        <v>607</v>
      </c>
      <c r="D468" s="10" t="s">
        <v>37</v>
      </c>
      <c r="E468" s="10" t="s">
        <v>214</v>
      </c>
      <c r="F468" s="10" t="s">
        <v>49</v>
      </c>
      <c r="G468" s="15">
        <v>1</v>
      </c>
      <c r="H468" s="11">
        <v>2679.9215999999997</v>
      </c>
      <c r="I468" s="12">
        <v>5</v>
      </c>
      <c r="J468" s="11">
        <v>2545.5469999999996</v>
      </c>
      <c r="K468" s="11">
        <v>1299.2699</v>
      </c>
      <c r="L468" s="10" t="s">
        <v>34</v>
      </c>
      <c r="M468" s="5">
        <f t="shared" si="42"/>
        <v>2024</v>
      </c>
      <c r="N468" s="5">
        <f t="shared" si="43"/>
        <v>8</v>
      </c>
      <c r="O468" s="21">
        <f t="shared" si="44"/>
        <v>45505</v>
      </c>
      <c r="P468" s="13">
        <f t="shared" si="45"/>
        <v>0.51040892193308562</v>
      </c>
      <c r="Q468" s="5">
        <f t="shared" si="46"/>
        <v>202408</v>
      </c>
      <c r="R468" s="21">
        <f t="shared" si="47"/>
        <v>45505</v>
      </c>
    </row>
    <row r="469" spans="1:18" x14ac:dyDescent="0.25">
      <c r="A469" s="5" t="s">
        <v>927</v>
      </c>
      <c r="B469" s="14">
        <v>45293</v>
      </c>
      <c r="C469" s="5" t="s">
        <v>599</v>
      </c>
      <c r="D469" s="10" t="s">
        <v>42</v>
      </c>
      <c r="E469" s="10" t="s">
        <v>214</v>
      </c>
      <c r="F469" s="10" t="s">
        <v>49</v>
      </c>
      <c r="G469" s="15">
        <v>1</v>
      </c>
      <c r="H469" s="11">
        <v>2588.1305000000002</v>
      </c>
      <c r="I469" s="12">
        <v>5</v>
      </c>
      <c r="J469" s="11">
        <v>2458.4874</v>
      </c>
      <c r="K469" s="11">
        <v>965.22599999999989</v>
      </c>
      <c r="L469" s="10" t="s">
        <v>17</v>
      </c>
      <c r="M469" s="5">
        <f t="shared" si="42"/>
        <v>2024</v>
      </c>
      <c r="N469" s="5">
        <f t="shared" si="43"/>
        <v>1</v>
      </c>
      <c r="O469" s="21">
        <f t="shared" si="44"/>
        <v>45292</v>
      </c>
      <c r="P469" s="13">
        <f t="shared" si="45"/>
        <v>0.39260969976905308</v>
      </c>
      <c r="Q469" s="5">
        <f t="shared" si="46"/>
        <v>202401</v>
      </c>
      <c r="R469" s="21">
        <f t="shared" si="47"/>
        <v>45292</v>
      </c>
    </row>
    <row r="470" spans="1:18" x14ac:dyDescent="0.25">
      <c r="A470" s="5" t="s">
        <v>928</v>
      </c>
      <c r="B470" s="14">
        <v>45916</v>
      </c>
      <c r="C470" s="5" t="s">
        <v>929</v>
      </c>
      <c r="D470" s="10" t="s">
        <v>42</v>
      </c>
      <c r="E470" s="10" t="s">
        <v>43</v>
      </c>
      <c r="F470" s="10" t="s">
        <v>22</v>
      </c>
      <c r="G470" s="15">
        <v>1</v>
      </c>
      <c r="H470" s="11">
        <v>4120.1902</v>
      </c>
      <c r="I470" s="12">
        <v>0</v>
      </c>
      <c r="J470" s="11">
        <v>4120.1902</v>
      </c>
      <c r="K470" s="11">
        <v>1847.1776</v>
      </c>
      <c r="L470" s="10" t="s">
        <v>17</v>
      </c>
      <c r="M470" s="5">
        <f t="shared" si="42"/>
        <v>2025</v>
      </c>
      <c r="N470" s="5">
        <f t="shared" si="43"/>
        <v>9</v>
      </c>
      <c r="O470" s="21">
        <f t="shared" si="44"/>
        <v>45901</v>
      </c>
      <c r="P470" s="13">
        <f t="shared" si="45"/>
        <v>0.44832338079926504</v>
      </c>
      <c r="Q470" s="5">
        <f t="shared" si="46"/>
        <v>202509</v>
      </c>
      <c r="R470" s="21">
        <f t="shared" si="47"/>
        <v>45901</v>
      </c>
    </row>
    <row r="471" spans="1:18" x14ac:dyDescent="0.25">
      <c r="A471" s="5" t="s">
        <v>930</v>
      </c>
      <c r="B471" s="14">
        <v>45292</v>
      </c>
      <c r="C471" s="5" t="s">
        <v>931</v>
      </c>
      <c r="D471" s="10" t="s">
        <v>20</v>
      </c>
      <c r="E471" s="10" t="s">
        <v>177</v>
      </c>
      <c r="F471" s="10" t="s">
        <v>49</v>
      </c>
      <c r="G471" s="15">
        <v>2</v>
      </c>
      <c r="H471" s="11">
        <v>6140.5406999999996</v>
      </c>
      <c r="I471" s="12">
        <v>10</v>
      </c>
      <c r="J471" s="11">
        <v>11052.784</v>
      </c>
      <c r="K471" s="11">
        <v>3729.3682999999996</v>
      </c>
      <c r="L471" s="10" t="s">
        <v>23</v>
      </c>
      <c r="M471" s="5">
        <f t="shared" si="42"/>
        <v>2024</v>
      </c>
      <c r="N471" s="5">
        <f t="shared" si="43"/>
        <v>1</v>
      </c>
      <c r="O471" s="21">
        <f t="shared" si="44"/>
        <v>45292</v>
      </c>
      <c r="P471" s="13">
        <f t="shared" si="45"/>
        <v>0.33741438356164383</v>
      </c>
      <c r="Q471" s="5">
        <f t="shared" si="46"/>
        <v>202401</v>
      </c>
      <c r="R471" s="21">
        <f t="shared" si="47"/>
        <v>45292</v>
      </c>
    </row>
    <row r="472" spans="1:18" x14ac:dyDescent="0.25">
      <c r="A472" s="5" t="s">
        <v>932</v>
      </c>
      <c r="B472" s="14">
        <v>45638</v>
      </c>
      <c r="C472" s="5" t="s">
        <v>933</v>
      </c>
      <c r="D472" s="10" t="s">
        <v>42</v>
      </c>
      <c r="E472" s="10" t="s">
        <v>55</v>
      </c>
      <c r="F472" s="10" t="s">
        <v>16</v>
      </c>
      <c r="G472" s="15">
        <v>2</v>
      </c>
      <c r="H472" s="11">
        <v>7337.6102000000001</v>
      </c>
      <c r="I472" s="12">
        <v>10</v>
      </c>
      <c r="J472" s="11">
        <v>13207.509099999999</v>
      </c>
      <c r="K472" s="11">
        <v>2571.0971</v>
      </c>
      <c r="L472" s="10" t="s">
        <v>23</v>
      </c>
      <c r="M472" s="5">
        <f t="shared" si="42"/>
        <v>2024</v>
      </c>
      <c r="N472" s="5">
        <f t="shared" si="43"/>
        <v>12</v>
      </c>
      <c r="O472" s="21">
        <f t="shared" si="44"/>
        <v>45627</v>
      </c>
      <c r="P472" s="13">
        <f t="shared" si="45"/>
        <v>0.1946693415490435</v>
      </c>
      <c r="Q472" s="5">
        <f t="shared" si="46"/>
        <v>202412</v>
      </c>
      <c r="R472" s="21">
        <f t="shared" si="47"/>
        <v>45627</v>
      </c>
    </row>
    <row r="473" spans="1:18" x14ac:dyDescent="0.25">
      <c r="A473" s="5" t="s">
        <v>934</v>
      </c>
      <c r="B473" s="14">
        <v>45429</v>
      </c>
      <c r="C473" s="5" t="s">
        <v>935</v>
      </c>
      <c r="D473" s="10" t="s">
        <v>20</v>
      </c>
      <c r="E473" s="10" t="s">
        <v>48</v>
      </c>
      <c r="F473" s="10" t="s">
        <v>49</v>
      </c>
      <c r="G473" s="15">
        <v>2</v>
      </c>
      <c r="H473" s="11">
        <v>3594.0473999999995</v>
      </c>
      <c r="I473" s="12">
        <v>10</v>
      </c>
      <c r="J473" s="11">
        <v>6468.9067999999997</v>
      </c>
      <c r="K473" s="11">
        <v>2591.9157</v>
      </c>
      <c r="L473" s="10" t="s">
        <v>23</v>
      </c>
      <c r="M473" s="5">
        <f t="shared" si="42"/>
        <v>2024</v>
      </c>
      <c r="N473" s="5">
        <f t="shared" si="43"/>
        <v>5</v>
      </c>
      <c r="O473" s="21">
        <f t="shared" si="44"/>
        <v>45413</v>
      </c>
      <c r="P473" s="13">
        <f t="shared" si="45"/>
        <v>0.40067290813341139</v>
      </c>
      <c r="Q473" s="5">
        <f t="shared" si="46"/>
        <v>202405</v>
      </c>
      <c r="R473" s="21">
        <f t="shared" si="47"/>
        <v>45413</v>
      </c>
    </row>
    <row r="474" spans="1:18" x14ac:dyDescent="0.25">
      <c r="A474" s="5" t="s">
        <v>936</v>
      </c>
      <c r="B474" s="14">
        <v>45518</v>
      </c>
      <c r="C474" s="5" t="s">
        <v>937</v>
      </c>
      <c r="D474" s="10" t="s">
        <v>37</v>
      </c>
      <c r="E474" s="10" t="s">
        <v>52</v>
      </c>
      <c r="F474" s="10" t="s">
        <v>39</v>
      </c>
      <c r="G474" s="15">
        <v>1</v>
      </c>
      <c r="H474" s="11">
        <v>5267.1057999999994</v>
      </c>
      <c r="I474" s="12">
        <v>10</v>
      </c>
      <c r="J474" s="11">
        <v>4740.0167000000001</v>
      </c>
      <c r="K474" s="11">
        <v>1802.7014999999999</v>
      </c>
      <c r="L474" s="10" t="s">
        <v>23</v>
      </c>
      <c r="M474" s="5">
        <f t="shared" si="42"/>
        <v>2024</v>
      </c>
      <c r="N474" s="5">
        <f t="shared" si="43"/>
        <v>8</v>
      </c>
      <c r="O474" s="21">
        <f t="shared" si="44"/>
        <v>45505</v>
      </c>
      <c r="P474" s="13">
        <f t="shared" si="45"/>
        <v>0.38031543222200037</v>
      </c>
      <c r="Q474" s="5">
        <f t="shared" si="46"/>
        <v>202408</v>
      </c>
      <c r="R474" s="21">
        <f t="shared" si="47"/>
        <v>45505</v>
      </c>
    </row>
    <row r="475" spans="1:18" x14ac:dyDescent="0.25">
      <c r="A475" s="5" t="s">
        <v>938</v>
      </c>
      <c r="B475" s="14">
        <v>45340</v>
      </c>
      <c r="C475" s="5" t="s">
        <v>939</v>
      </c>
      <c r="D475" s="10" t="s">
        <v>20</v>
      </c>
      <c r="E475" s="10" t="s">
        <v>105</v>
      </c>
      <c r="F475" s="10" t="s">
        <v>39</v>
      </c>
      <c r="G475" s="15">
        <v>1</v>
      </c>
      <c r="H475" s="11">
        <v>1057.9633999999999</v>
      </c>
      <c r="I475" s="12">
        <v>5</v>
      </c>
      <c r="J475" s="11">
        <v>1004.9705999999999</v>
      </c>
      <c r="K475" s="11">
        <v>264.964</v>
      </c>
      <c r="L475" s="10" t="s">
        <v>17</v>
      </c>
      <c r="M475" s="5">
        <f t="shared" si="42"/>
        <v>2024</v>
      </c>
      <c r="N475" s="5">
        <f t="shared" si="43"/>
        <v>2</v>
      </c>
      <c r="O475" s="21">
        <f t="shared" si="44"/>
        <v>45323</v>
      </c>
      <c r="P475" s="13">
        <f t="shared" si="45"/>
        <v>0.26365348399246707</v>
      </c>
      <c r="Q475" s="5">
        <f t="shared" si="46"/>
        <v>202402</v>
      </c>
      <c r="R475" s="21">
        <f t="shared" si="47"/>
        <v>45323</v>
      </c>
    </row>
    <row r="476" spans="1:18" x14ac:dyDescent="0.25">
      <c r="A476" s="5" t="s">
        <v>940</v>
      </c>
      <c r="B476" s="14">
        <v>45351</v>
      </c>
      <c r="C476" s="5" t="s">
        <v>941</v>
      </c>
      <c r="D476" s="10" t="s">
        <v>42</v>
      </c>
      <c r="E476" s="10" t="s">
        <v>74</v>
      </c>
      <c r="F476" s="10" t="s">
        <v>75</v>
      </c>
      <c r="G476" s="15">
        <v>1</v>
      </c>
      <c r="H476" s="11">
        <v>1889.7610999999997</v>
      </c>
      <c r="I476" s="12">
        <v>0</v>
      </c>
      <c r="J476" s="11">
        <v>1889.7610999999997</v>
      </c>
      <c r="K476" s="11">
        <v>334.99019999999996</v>
      </c>
      <c r="L476" s="10" t="s">
        <v>17</v>
      </c>
      <c r="M476" s="5">
        <f t="shared" si="42"/>
        <v>2024</v>
      </c>
      <c r="N476" s="5">
        <f t="shared" si="43"/>
        <v>2</v>
      </c>
      <c r="O476" s="21">
        <f t="shared" si="44"/>
        <v>45323</v>
      </c>
      <c r="P476" s="13">
        <f t="shared" si="45"/>
        <v>0.1772658988482724</v>
      </c>
      <c r="Q476" s="5">
        <f t="shared" si="46"/>
        <v>202402</v>
      </c>
      <c r="R476" s="21">
        <f t="shared" si="47"/>
        <v>45323</v>
      </c>
    </row>
    <row r="477" spans="1:18" x14ac:dyDescent="0.25">
      <c r="A477" s="5" t="s">
        <v>942</v>
      </c>
      <c r="B477" s="14">
        <v>45486</v>
      </c>
      <c r="C477" s="5" t="s">
        <v>943</v>
      </c>
      <c r="D477" s="10" t="s">
        <v>26</v>
      </c>
      <c r="E477" s="10" t="s">
        <v>253</v>
      </c>
      <c r="F477" s="10" t="s">
        <v>49</v>
      </c>
      <c r="G477" s="15">
        <v>3</v>
      </c>
      <c r="H477" s="11">
        <v>5736.4705999999996</v>
      </c>
      <c r="I477" s="12">
        <v>0</v>
      </c>
      <c r="J477" s="11">
        <v>17209.411800000002</v>
      </c>
      <c r="K477" s="11">
        <v>7998.1275999999989</v>
      </c>
      <c r="L477" s="10" t="s">
        <v>23</v>
      </c>
      <c r="M477" s="5">
        <f t="shared" si="42"/>
        <v>2024</v>
      </c>
      <c r="N477" s="5">
        <f t="shared" si="43"/>
        <v>7</v>
      </c>
      <c r="O477" s="21">
        <f t="shared" si="44"/>
        <v>45474</v>
      </c>
      <c r="P477" s="13">
        <f t="shared" si="45"/>
        <v>0.46475310678543924</v>
      </c>
      <c r="Q477" s="5">
        <f t="shared" si="46"/>
        <v>202407</v>
      </c>
      <c r="R477" s="21">
        <f t="shared" si="47"/>
        <v>45474</v>
      </c>
    </row>
    <row r="478" spans="1:18" x14ac:dyDescent="0.25">
      <c r="A478" s="5" t="s">
        <v>944</v>
      </c>
      <c r="B478" s="14">
        <v>45940</v>
      </c>
      <c r="C478" s="5" t="s">
        <v>945</v>
      </c>
      <c r="D478" s="10" t="s">
        <v>20</v>
      </c>
      <c r="E478" s="10" t="s">
        <v>61</v>
      </c>
      <c r="F478" s="10" t="s">
        <v>39</v>
      </c>
      <c r="G478" s="15">
        <v>1</v>
      </c>
      <c r="H478" s="11">
        <v>3406.68</v>
      </c>
      <c r="I478" s="12">
        <v>10</v>
      </c>
      <c r="J478" s="11">
        <v>3066.0119999999997</v>
      </c>
      <c r="K478" s="11">
        <v>916.01839999999993</v>
      </c>
      <c r="L478" s="10" t="s">
        <v>17</v>
      </c>
      <c r="M478" s="5">
        <f t="shared" si="42"/>
        <v>2025</v>
      </c>
      <c r="N478" s="5">
        <f t="shared" si="43"/>
        <v>10</v>
      </c>
      <c r="O478" s="21">
        <f t="shared" si="44"/>
        <v>45931</v>
      </c>
      <c r="P478" s="13">
        <f t="shared" si="45"/>
        <v>0.29876543209876544</v>
      </c>
      <c r="Q478" s="5">
        <f t="shared" si="46"/>
        <v>202510</v>
      </c>
      <c r="R478" s="21">
        <f t="shared" si="47"/>
        <v>45931</v>
      </c>
    </row>
    <row r="479" spans="1:18" x14ac:dyDescent="0.25">
      <c r="A479" s="5" t="s">
        <v>946</v>
      </c>
      <c r="B479" s="14">
        <v>45316</v>
      </c>
      <c r="C479" s="5" t="s">
        <v>947</v>
      </c>
      <c r="D479" s="10" t="s">
        <v>37</v>
      </c>
      <c r="E479" s="10" t="s">
        <v>460</v>
      </c>
      <c r="F479" s="10" t="s">
        <v>75</v>
      </c>
      <c r="G479" s="15">
        <v>1</v>
      </c>
      <c r="H479" s="11">
        <v>2315.5960999999998</v>
      </c>
      <c r="I479" s="12">
        <v>20</v>
      </c>
      <c r="J479" s="11">
        <v>1852.8553999999997</v>
      </c>
      <c r="K479" s="11">
        <v>437.19059999999996</v>
      </c>
      <c r="L479" s="10" t="s">
        <v>17</v>
      </c>
      <c r="M479" s="5">
        <f t="shared" si="42"/>
        <v>2024</v>
      </c>
      <c r="N479" s="5">
        <f t="shared" si="43"/>
        <v>1</v>
      </c>
      <c r="O479" s="21">
        <f t="shared" si="44"/>
        <v>45292</v>
      </c>
      <c r="P479" s="13">
        <f t="shared" si="45"/>
        <v>0.2359550561797753</v>
      </c>
      <c r="Q479" s="5">
        <f t="shared" si="46"/>
        <v>202401</v>
      </c>
      <c r="R479" s="21">
        <f t="shared" si="47"/>
        <v>45292</v>
      </c>
    </row>
    <row r="480" spans="1:18" x14ac:dyDescent="0.25">
      <c r="A480" s="5" t="s">
        <v>948</v>
      </c>
      <c r="B480" s="14">
        <v>45525</v>
      </c>
      <c r="C480" s="5" t="s">
        <v>949</v>
      </c>
      <c r="D480" s="10" t="s">
        <v>20</v>
      </c>
      <c r="E480" s="10" t="s">
        <v>111</v>
      </c>
      <c r="F480" s="10" t="s">
        <v>49</v>
      </c>
      <c r="G480" s="15">
        <v>1</v>
      </c>
      <c r="H480" s="11">
        <v>7299.7581999999993</v>
      </c>
      <c r="I480" s="12">
        <v>0</v>
      </c>
      <c r="J480" s="11">
        <v>7299.7581999999993</v>
      </c>
      <c r="K480" s="11">
        <v>2452.8096</v>
      </c>
      <c r="L480" s="10" t="s">
        <v>17</v>
      </c>
      <c r="M480" s="5">
        <f t="shared" si="42"/>
        <v>2024</v>
      </c>
      <c r="N480" s="5">
        <f t="shared" si="43"/>
        <v>8</v>
      </c>
      <c r="O480" s="21">
        <f t="shared" si="44"/>
        <v>45505</v>
      </c>
      <c r="P480" s="13">
        <f t="shared" si="45"/>
        <v>0.33601244490536691</v>
      </c>
      <c r="Q480" s="5">
        <f t="shared" si="46"/>
        <v>202408</v>
      </c>
      <c r="R480" s="21">
        <f t="shared" si="47"/>
        <v>45505</v>
      </c>
    </row>
    <row r="481" spans="1:18" x14ac:dyDescent="0.25">
      <c r="A481" s="5" t="s">
        <v>950</v>
      </c>
      <c r="B481" s="14">
        <v>45717</v>
      </c>
      <c r="C481" s="5" t="s">
        <v>773</v>
      </c>
      <c r="D481" s="10" t="s">
        <v>26</v>
      </c>
      <c r="E481" s="10" t="s">
        <v>105</v>
      </c>
      <c r="F481" s="10" t="s">
        <v>39</v>
      </c>
      <c r="G481" s="15">
        <v>2</v>
      </c>
      <c r="H481" s="11">
        <v>2015.6189999999999</v>
      </c>
      <c r="I481" s="12">
        <v>0</v>
      </c>
      <c r="J481" s="11">
        <v>4031.2379999999998</v>
      </c>
      <c r="K481" s="11">
        <v>987.93719999999996</v>
      </c>
      <c r="L481" s="10" t="s">
        <v>17</v>
      </c>
      <c r="M481" s="5">
        <f t="shared" si="42"/>
        <v>2025</v>
      </c>
      <c r="N481" s="5">
        <f t="shared" si="43"/>
        <v>3</v>
      </c>
      <c r="O481" s="21">
        <f t="shared" si="44"/>
        <v>45717</v>
      </c>
      <c r="P481" s="13">
        <f t="shared" si="45"/>
        <v>0.24507042253521127</v>
      </c>
      <c r="Q481" s="5">
        <f t="shared" si="46"/>
        <v>202503</v>
      </c>
      <c r="R481" s="21">
        <f t="shared" si="47"/>
        <v>45717</v>
      </c>
    </row>
    <row r="482" spans="1:18" x14ac:dyDescent="0.25">
      <c r="A482" s="5" t="s">
        <v>951</v>
      </c>
      <c r="B482" s="14">
        <v>45504</v>
      </c>
      <c r="C482" s="5" t="s">
        <v>952</v>
      </c>
      <c r="D482" s="10" t="s">
        <v>42</v>
      </c>
      <c r="E482" s="10" t="s">
        <v>80</v>
      </c>
      <c r="F482" s="10" t="s">
        <v>16</v>
      </c>
      <c r="G482" s="15">
        <v>2</v>
      </c>
      <c r="H482" s="11">
        <v>12845.0762</v>
      </c>
      <c r="I482" s="12">
        <v>20</v>
      </c>
      <c r="J482" s="11">
        <v>20551.743399999999</v>
      </c>
      <c r="K482" s="11">
        <v>5023.9067000000005</v>
      </c>
      <c r="L482" s="10" t="s">
        <v>17</v>
      </c>
      <c r="M482" s="5">
        <f t="shared" si="42"/>
        <v>2024</v>
      </c>
      <c r="N482" s="5">
        <f t="shared" si="43"/>
        <v>7</v>
      </c>
      <c r="O482" s="21">
        <f t="shared" si="44"/>
        <v>45474</v>
      </c>
      <c r="P482" s="13">
        <f t="shared" si="45"/>
        <v>0.24445160696196705</v>
      </c>
      <c r="Q482" s="5">
        <f t="shared" si="46"/>
        <v>202407</v>
      </c>
      <c r="R482" s="21">
        <f t="shared" si="47"/>
        <v>45474</v>
      </c>
    </row>
    <row r="483" spans="1:18" x14ac:dyDescent="0.25">
      <c r="A483" s="5" t="s">
        <v>953</v>
      </c>
      <c r="B483" s="14">
        <v>45698</v>
      </c>
      <c r="C483" s="5" t="s">
        <v>954</v>
      </c>
      <c r="D483" s="10" t="s">
        <v>20</v>
      </c>
      <c r="E483" s="10" t="s">
        <v>111</v>
      </c>
      <c r="F483" s="10" t="s">
        <v>49</v>
      </c>
      <c r="G483" s="15">
        <v>4</v>
      </c>
      <c r="H483" s="11">
        <v>8101.2742999999991</v>
      </c>
      <c r="I483" s="12">
        <v>15</v>
      </c>
      <c r="J483" s="11">
        <v>27543.954099999999</v>
      </c>
      <c r="K483" s="11">
        <v>15125.6592</v>
      </c>
      <c r="L483" s="10" t="s">
        <v>17</v>
      </c>
      <c r="M483" s="5">
        <f t="shared" si="42"/>
        <v>2025</v>
      </c>
      <c r="N483" s="5">
        <f t="shared" si="43"/>
        <v>2</v>
      </c>
      <c r="O483" s="21">
        <f t="shared" si="44"/>
        <v>45689</v>
      </c>
      <c r="P483" s="13">
        <f t="shared" si="45"/>
        <v>0.54914625347854473</v>
      </c>
      <c r="Q483" s="5">
        <f t="shared" si="46"/>
        <v>202502</v>
      </c>
      <c r="R483" s="21">
        <f t="shared" si="47"/>
        <v>45689</v>
      </c>
    </row>
    <row r="484" spans="1:18" x14ac:dyDescent="0.25">
      <c r="A484" s="5" t="s">
        <v>955</v>
      </c>
      <c r="B484" s="14">
        <v>45666</v>
      </c>
      <c r="C484" s="5" t="s">
        <v>956</v>
      </c>
      <c r="D484" s="10" t="s">
        <v>26</v>
      </c>
      <c r="E484" s="10" t="s">
        <v>88</v>
      </c>
      <c r="F484" s="10" t="s">
        <v>22</v>
      </c>
      <c r="G484" s="15">
        <v>5</v>
      </c>
      <c r="H484" s="11">
        <v>1997.6392999999998</v>
      </c>
      <c r="I484" s="12">
        <v>10</v>
      </c>
      <c r="J484" s="11">
        <v>8989.85</v>
      </c>
      <c r="K484" s="11">
        <v>5599.2570999999998</v>
      </c>
      <c r="L484" s="10" t="s">
        <v>23</v>
      </c>
      <c r="M484" s="5">
        <f t="shared" si="42"/>
        <v>2025</v>
      </c>
      <c r="N484" s="5">
        <f t="shared" si="43"/>
        <v>1</v>
      </c>
      <c r="O484" s="21">
        <f t="shared" si="44"/>
        <v>45658</v>
      </c>
      <c r="P484" s="13">
        <f t="shared" si="45"/>
        <v>0.62284210526315786</v>
      </c>
      <c r="Q484" s="5">
        <f t="shared" si="46"/>
        <v>202501</v>
      </c>
      <c r="R484" s="21">
        <f t="shared" si="47"/>
        <v>45658</v>
      </c>
    </row>
    <row r="485" spans="1:18" x14ac:dyDescent="0.25">
      <c r="A485" s="5" t="s">
        <v>957</v>
      </c>
      <c r="B485" s="14">
        <v>45695</v>
      </c>
      <c r="C485" s="5" t="s">
        <v>836</v>
      </c>
      <c r="D485" s="10" t="s">
        <v>20</v>
      </c>
      <c r="E485" s="10" t="s">
        <v>154</v>
      </c>
      <c r="F485" s="10" t="s">
        <v>39</v>
      </c>
      <c r="G485" s="15">
        <v>3</v>
      </c>
      <c r="H485" s="11">
        <v>5998.5956999999999</v>
      </c>
      <c r="I485" s="12">
        <v>5</v>
      </c>
      <c r="J485" s="11">
        <v>17095.855799999998</v>
      </c>
      <c r="K485" s="11">
        <v>6281.5393999999997</v>
      </c>
      <c r="L485" s="10" t="s">
        <v>17</v>
      </c>
      <c r="M485" s="5">
        <f t="shared" si="42"/>
        <v>2025</v>
      </c>
      <c r="N485" s="5">
        <f t="shared" si="43"/>
        <v>2</v>
      </c>
      <c r="O485" s="21">
        <f t="shared" si="44"/>
        <v>45689</v>
      </c>
      <c r="P485" s="13">
        <f t="shared" si="45"/>
        <v>0.36743053249197388</v>
      </c>
      <c r="Q485" s="5">
        <f t="shared" si="46"/>
        <v>202502</v>
      </c>
      <c r="R485" s="21">
        <f t="shared" si="47"/>
        <v>45689</v>
      </c>
    </row>
    <row r="486" spans="1:18" x14ac:dyDescent="0.25">
      <c r="A486" s="5" t="s">
        <v>958</v>
      </c>
      <c r="B486" s="14">
        <v>45526</v>
      </c>
      <c r="C486" s="5" t="s">
        <v>959</v>
      </c>
      <c r="D486" s="10" t="s">
        <v>37</v>
      </c>
      <c r="E486" s="10" t="s">
        <v>108</v>
      </c>
      <c r="F486" s="10" t="s">
        <v>75</v>
      </c>
      <c r="G486" s="15">
        <v>2</v>
      </c>
      <c r="H486" s="11">
        <v>3535.3768</v>
      </c>
      <c r="I486" s="12">
        <v>10</v>
      </c>
      <c r="J486" s="11">
        <v>6363.8674999999994</v>
      </c>
      <c r="K486" s="11">
        <v>1749.7086999999997</v>
      </c>
      <c r="L486" s="10" t="s">
        <v>34</v>
      </c>
      <c r="M486" s="5">
        <f t="shared" si="42"/>
        <v>2024</v>
      </c>
      <c r="N486" s="5">
        <f t="shared" si="43"/>
        <v>8</v>
      </c>
      <c r="O486" s="21">
        <f t="shared" si="44"/>
        <v>45505</v>
      </c>
      <c r="P486" s="13">
        <f t="shared" si="45"/>
        <v>0.27494423791821559</v>
      </c>
      <c r="Q486" s="5">
        <f t="shared" si="46"/>
        <v>202408</v>
      </c>
      <c r="R486" s="21">
        <f t="shared" si="47"/>
        <v>45505</v>
      </c>
    </row>
    <row r="487" spans="1:18" x14ac:dyDescent="0.25">
      <c r="A487" s="5" t="s">
        <v>960</v>
      </c>
      <c r="B487" s="14">
        <v>45766</v>
      </c>
      <c r="C487" s="5" t="s">
        <v>961</v>
      </c>
      <c r="D487" s="10" t="s">
        <v>20</v>
      </c>
      <c r="E487" s="10" t="s">
        <v>136</v>
      </c>
      <c r="F487" s="10" t="s">
        <v>75</v>
      </c>
      <c r="G487" s="15">
        <v>2</v>
      </c>
      <c r="H487" s="11">
        <v>3416.143</v>
      </c>
      <c r="I487" s="12">
        <v>5</v>
      </c>
      <c r="J487" s="11">
        <v>6490.6716999999999</v>
      </c>
      <c r="K487" s="11">
        <v>1655.0786999999998</v>
      </c>
      <c r="L487" s="10" t="s">
        <v>23</v>
      </c>
      <c r="M487" s="5">
        <f t="shared" si="42"/>
        <v>2025</v>
      </c>
      <c r="N487" s="5">
        <f t="shared" si="43"/>
        <v>4</v>
      </c>
      <c r="O487" s="21">
        <f t="shared" si="44"/>
        <v>45748</v>
      </c>
      <c r="P487" s="13">
        <f t="shared" si="45"/>
        <v>0.25499343927686247</v>
      </c>
      <c r="Q487" s="5">
        <f t="shared" si="46"/>
        <v>202504</v>
      </c>
      <c r="R487" s="21">
        <f t="shared" si="47"/>
        <v>45748</v>
      </c>
    </row>
    <row r="488" spans="1:18" x14ac:dyDescent="0.25">
      <c r="A488" s="5" t="s">
        <v>962</v>
      </c>
      <c r="B488" s="14">
        <v>45919</v>
      </c>
      <c r="C488" s="5" t="s">
        <v>195</v>
      </c>
      <c r="D488" s="10" t="s">
        <v>20</v>
      </c>
      <c r="E488" s="10" t="s">
        <v>69</v>
      </c>
      <c r="F488" s="10" t="s">
        <v>39</v>
      </c>
      <c r="G488" s="15">
        <v>1</v>
      </c>
      <c r="H488" s="11">
        <v>5947.4955</v>
      </c>
      <c r="I488" s="12">
        <v>0</v>
      </c>
      <c r="J488" s="11">
        <v>5947.4955</v>
      </c>
      <c r="K488" s="11">
        <v>2202.0400999999997</v>
      </c>
      <c r="L488" s="10" t="s">
        <v>17</v>
      </c>
      <c r="M488" s="5">
        <f t="shared" si="42"/>
        <v>2025</v>
      </c>
      <c r="N488" s="5">
        <f t="shared" si="43"/>
        <v>9</v>
      </c>
      <c r="O488" s="21">
        <f t="shared" si="44"/>
        <v>45901</v>
      </c>
      <c r="P488" s="13">
        <f t="shared" si="45"/>
        <v>0.37024661893396971</v>
      </c>
      <c r="Q488" s="5">
        <f t="shared" si="46"/>
        <v>202509</v>
      </c>
      <c r="R488" s="21">
        <f t="shared" si="47"/>
        <v>45901</v>
      </c>
    </row>
    <row r="489" spans="1:18" x14ac:dyDescent="0.25">
      <c r="A489" s="5" t="s">
        <v>963</v>
      </c>
      <c r="B489" s="14">
        <v>45541</v>
      </c>
      <c r="C489" s="5" t="s">
        <v>838</v>
      </c>
      <c r="D489" s="10" t="s">
        <v>14</v>
      </c>
      <c r="E489" s="10" t="s">
        <v>88</v>
      </c>
      <c r="F489" s="10" t="s">
        <v>22</v>
      </c>
      <c r="G489" s="15">
        <v>1</v>
      </c>
      <c r="H489" s="11">
        <v>2867.2889999999998</v>
      </c>
      <c r="I489" s="12">
        <v>15</v>
      </c>
      <c r="J489" s="11">
        <v>2437.6687999999999</v>
      </c>
      <c r="K489" s="11">
        <v>1356.0479</v>
      </c>
      <c r="L489" s="10" t="s">
        <v>23</v>
      </c>
      <c r="M489" s="5">
        <f t="shared" si="42"/>
        <v>2024</v>
      </c>
      <c r="N489" s="5">
        <f t="shared" si="43"/>
        <v>9</v>
      </c>
      <c r="O489" s="21">
        <f t="shared" si="44"/>
        <v>45536</v>
      </c>
      <c r="P489" s="13">
        <f t="shared" si="45"/>
        <v>0.55628881987577639</v>
      </c>
      <c r="Q489" s="5">
        <f t="shared" si="46"/>
        <v>202409</v>
      </c>
      <c r="R489" s="21">
        <f t="shared" si="47"/>
        <v>45536</v>
      </c>
    </row>
    <row r="490" spans="1:18" x14ac:dyDescent="0.25">
      <c r="A490" s="5" t="s">
        <v>964</v>
      </c>
      <c r="B490" s="14">
        <v>45671</v>
      </c>
      <c r="C490" s="5" t="s">
        <v>965</v>
      </c>
      <c r="D490" s="10" t="s">
        <v>20</v>
      </c>
      <c r="E490" s="10" t="s">
        <v>108</v>
      </c>
      <c r="F490" s="10" t="s">
        <v>75</v>
      </c>
      <c r="G490" s="15">
        <v>2</v>
      </c>
      <c r="H490" s="11">
        <v>5556.6736000000001</v>
      </c>
      <c r="I490" s="12">
        <v>0</v>
      </c>
      <c r="J490" s="11">
        <v>11113.3472</v>
      </c>
      <c r="K490" s="11">
        <v>2367.6425999999997</v>
      </c>
      <c r="L490" s="10" t="s">
        <v>23</v>
      </c>
      <c r="M490" s="5">
        <f t="shared" si="42"/>
        <v>2025</v>
      </c>
      <c r="N490" s="5">
        <f t="shared" si="43"/>
        <v>1</v>
      </c>
      <c r="O490" s="21">
        <f t="shared" si="44"/>
        <v>45658</v>
      </c>
      <c r="P490" s="13">
        <f t="shared" si="45"/>
        <v>0.21304495912806537</v>
      </c>
      <c r="Q490" s="5">
        <f t="shared" si="46"/>
        <v>202501</v>
      </c>
      <c r="R490" s="21">
        <f t="shared" si="47"/>
        <v>45658</v>
      </c>
    </row>
    <row r="491" spans="1:18" x14ac:dyDescent="0.25">
      <c r="A491" s="5" t="s">
        <v>966</v>
      </c>
      <c r="B491" s="14">
        <v>45859</v>
      </c>
      <c r="C491" s="5" t="s">
        <v>967</v>
      </c>
      <c r="D491" s="10" t="s">
        <v>20</v>
      </c>
      <c r="E491" s="10" t="s">
        <v>27</v>
      </c>
      <c r="F491" s="10" t="s">
        <v>22</v>
      </c>
      <c r="G491" s="15">
        <v>2</v>
      </c>
      <c r="H491" s="11">
        <v>2995.9857999999999</v>
      </c>
      <c r="I491" s="12">
        <v>15</v>
      </c>
      <c r="J491" s="11">
        <v>5092.9866000000002</v>
      </c>
      <c r="K491" s="11">
        <v>2983.6839</v>
      </c>
      <c r="L491" s="10" t="s">
        <v>17</v>
      </c>
      <c r="M491" s="5">
        <f t="shared" si="42"/>
        <v>2025</v>
      </c>
      <c r="N491" s="5">
        <f t="shared" si="43"/>
        <v>7</v>
      </c>
      <c r="O491" s="21">
        <f t="shared" si="44"/>
        <v>45839</v>
      </c>
      <c r="P491" s="13">
        <f t="shared" si="45"/>
        <v>0.58584169453734669</v>
      </c>
      <c r="Q491" s="5">
        <f t="shared" si="46"/>
        <v>202507</v>
      </c>
      <c r="R491" s="21">
        <f t="shared" si="47"/>
        <v>45839</v>
      </c>
    </row>
    <row r="492" spans="1:18" x14ac:dyDescent="0.25">
      <c r="A492" s="5" t="s">
        <v>968</v>
      </c>
      <c r="B492" s="14">
        <v>45981</v>
      </c>
      <c r="C492" s="5" t="s">
        <v>523</v>
      </c>
      <c r="D492" s="10" t="s">
        <v>42</v>
      </c>
      <c r="E492" s="10" t="s">
        <v>184</v>
      </c>
      <c r="F492" s="10" t="s">
        <v>49</v>
      </c>
      <c r="G492" s="15">
        <v>2</v>
      </c>
      <c r="H492" s="11">
        <v>4370.0133999999998</v>
      </c>
      <c r="I492" s="12">
        <v>0</v>
      </c>
      <c r="J492" s="11">
        <v>8740.0267999999996</v>
      </c>
      <c r="K492" s="11">
        <v>4306.6112999999996</v>
      </c>
      <c r="L492" s="10" t="s">
        <v>23</v>
      </c>
      <c r="M492" s="5">
        <f t="shared" si="42"/>
        <v>2025</v>
      </c>
      <c r="N492" s="5">
        <f t="shared" si="43"/>
        <v>11</v>
      </c>
      <c r="O492" s="21">
        <f t="shared" si="44"/>
        <v>45962</v>
      </c>
      <c r="P492" s="13">
        <f t="shared" si="45"/>
        <v>0.49274577739281072</v>
      </c>
      <c r="Q492" s="5">
        <f t="shared" si="46"/>
        <v>202511</v>
      </c>
      <c r="R492" s="21">
        <f t="shared" si="47"/>
        <v>45962</v>
      </c>
    </row>
    <row r="493" spans="1:18" x14ac:dyDescent="0.25">
      <c r="A493" s="5" t="s">
        <v>969</v>
      </c>
      <c r="B493" s="14">
        <v>45624</v>
      </c>
      <c r="C493" s="5" t="s">
        <v>838</v>
      </c>
      <c r="D493" s="10" t="s">
        <v>20</v>
      </c>
      <c r="E493" s="10" t="s">
        <v>460</v>
      </c>
      <c r="F493" s="10" t="s">
        <v>75</v>
      </c>
      <c r="G493" s="15">
        <v>4</v>
      </c>
      <c r="H493" s="11">
        <v>4902.7803000000004</v>
      </c>
      <c r="I493" s="12">
        <v>5</v>
      </c>
      <c r="J493" s="11">
        <v>18630.754399999998</v>
      </c>
      <c r="K493" s="11">
        <v>4584.8235000000004</v>
      </c>
      <c r="L493" s="10" t="s">
        <v>23</v>
      </c>
      <c r="M493" s="5">
        <f t="shared" si="42"/>
        <v>2024</v>
      </c>
      <c r="N493" s="5">
        <f t="shared" si="43"/>
        <v>11</v>
      </c>
      <c r="O493" s="21">
        <f t="shared" si="44"/>
        <v>45597</v>
      </c>
      <c r="P493" s="13">
        <f t="shared" si="45"/>
        <v>0.24608898821617234</v>
      </c>
      <c r="Q493" s="5">
        <f t="shared" si="46"/>
        <v>202411</v>
      </c>
      <c r="R493" s="21">
        <f t="shared" si="47"/>
        <v>45597</v>
      </c>
    </row>
    <row r="494" spans="1:18" x14ac:dyDescent="0.25">
      <c r="A494" s="5" t="s">
        <v>970</v>
      </c>
      <c r="B494" s="14">
        <v>45647</v>
      </c>
      <c r="C494" s="5" t="s">
        <v>300</v>
      </c>
      <c r="D494" s="10" t="s">
        <v>20</v>
      </c>
      <c r="E494" s="10" t="s">
        <v>246</v>
      </c>
      <c r="F494" s="10" t="s">
        <v>75</v>
      </c>
      <c r="G494" s="15">
        <v>1</v>
      </c>
      <c r="H494" s="11">
        <v>1113.7950999999998</v>
      </c>
      <c r="I494" s="12">
        <v>0</v>
      </c>
      <c r="J494" s="11">
        <v>1113.7950999999998</v>
      </c>
      <c r="K494" s="11">
        <v>234.6824</v>
      </c>
      <c r="L494" s="10" t="s">
        <v>23</v>
      </c>
      <c r="M494" s="5">
        <f t="shared" si="42"/>
        <v>2024</v>
      </c>
      <c r="N494" s="5">
        <f t="shared" si="43"/>
        <v>12</v>
      </c>
      <c r="O494" s="21">
        <f t="shared" si="44"/>
        <v>45627</v>
      </c>
      <c r="P494" s="13">
        <f t="shared" si="45"/>
        <v>0.21070518266779953</v>
      </c>
      <c r="Q494" s="5">
        <f t="shared" si="46"/>
        <v>202412</v>
      </c>
      <c r="R494" s="21">
        <f t="shared" si="47"/>
        <v>45627</v>
      </c>
    </row>
    <row r="495" spans="1:18" x14ac:dyDescent="0.25">
      <c r="A495" s="5" t="s">
        <v>971</v>
      </c>
      <c r="B495" s="14">
        <v>45767</v>
      </c>
      <c r="C495" s="5" t="s">
        <v>972</v>
      </c>
      <c r="D495" s="10" t="s">
        <v>42</v>
      </c>
      <c r="E495" s="10" t="s">
        <v>286</v>
      </c>
      <c r="F495" s="10" t="s">
        <v>39</v>
      </c>
      <c r="G495" s="15">
        <v>1</v>
      </c>
      <c r="H495" s="11">
        <v>4683.2386999999999</v>
      </c>
      <c r="I495" s="12">
        <v>0</v>
      </c>
      <c r="J495" s="11">
        <v>4683.2386999999999</v>
      </c>
      <c r="K495" s="11">
        <v>1322.9274</v>
      </c>
      <c r="L495" s="10" t="s">
        <v>23</v>
      </c>
      <c r="M495" s="5">
        <f t="shared" si="42"/>
        <v>2025</v>
      </c>
      <c r="N495" s="5">
        <f t="shared" si="43"/>
        <v>4</v>
      </c>
      <c r="O495" s="21">
        <f t="shared" si="44"/>
        <v>45748</v>
      </c>
      <c r="P495" s="13">
        <f t="shared" si="45"/>
        <v>0.28248130935542537</v>
      </c>
      <c r="Q495" s="5">
        <f t="shared" si="46"/>
        <v>202504</v>
      </c>
      <c r="R495" s="21">
        <f t="shared" si="47"/>
        <v>45748</v>
      </c>
    </row>
    <row r="496" spans="1:18" x14ac:dyDescent="0.25">
      <c r="A496" s="5" t="s">
        <v>973</v>
      </c>
      <c r="B496" s="14">
        <v>45651</v>
      </c>
      <c r="C496" s="5" t="s">
        <v>678</v>
      </c>
      <c r="D496" s="10" t="s">
        <v>20</v>
      </c>
      <c r="E496" s="10" t="s">
        <v>48</v>
      </c>
      <c r="F496" s="10" t="s">
        <v>49</v>
      </c>
      <c r="G496" s="15">
        <v>2</v>
      </c>
      <c r="H496" s="11">
        <v>5006.8732999999993</v>
      </c>
      <c r="I496" s="12">
        <v>10</v>
      </c>
      <c r="J496" s="11">
        <v>9012.5611999999983</v>
      </c>
      <c r="K496" s="11">
        <v>3944.1783999999998</v>
      </c>
      <c r="L496" s="10" t="s">
        <v>17</v>
      </c>
      <c r="M496" s="5">
        <f t="shared" si="42"/>
        <v>2024</v>
      </c>
      <c r="N496" s="5">
        <f t="shared" si="43"/>
        <v>12</v>
      </c>
      <c r="O496" s="21">
        <f t="shared" si="44"/>
        <v>45627</v>
      </c>
      <c r="P496" s="13">
        <f t="shared" si="45"/>
        <v>0.43763124737505255</v>
      </c>
      <c r="Q496" s="5">
        <f t="shared" si="46"/>
        <v>202412</v>
      </c>
      <c r="R496" s="21">
        <f t="shared" si="47"/>
        <v>45627</v>
      </c>
    </row>
    <row r="497" spans="1:18" x14ac:dyDescent="0.25">
      <c r="A497" s="5" t="s">
        <v>974</v>
      </c>
      <c r="B497" s="14">
        <v>45811</v>
      </c>
      <c r="C497" s="5" t="s">
        <v>975</v>
      </c>
      <c r="D497" s="10" t="s">
        <v>14</v>
      </c>
      <c r="E497" s="10" t="s">
        <v>187</v>
      </c>
      <c r="F497" s="10" t="s">
        <v>75</v>
      </c>
      <c r="G497" s="15">
        <v>3</v>
      </c>
      <c r="H497" s="11">
        <v>3693.4088999999999</v>
      </c>
      <c r="I497" s="12">
        <v>25</v>
      </c>
      <c r="J497" s="11">
        <v>8310.4065999999984</v>
      </c>
      <c r="K497" s="11">
        <v>2484.9838</v>
      </c>
      <c r="L497" s="10" t="s">
        <v>23</v>
      </c>
      <c r="M497" s="5">
        <f t="shared" si="42"/>
        <v>2025</v>
      </c>
      <c r="N497" s="5">
        <f t="shared" si="43"/>
        <v>6</v>
      </c>
      <c r="O497" s="21">
        <f t="shared" si="44"/>
        <v>45809</v>
      </c>
      <c r="P497" s="13">
        <f t="shared" si="45"/>
        <v>0.29902072420860859</v>
      </c>
      <c r="Q497" s="5">
        <f t="shared" si="46"/>
        <v>202506</v>
      </c>
      <c r="R497" s="21">
        <f t="shared" si="47"/>
        <v>45809</v>
      </c>
    </row>
    <row r="498" spans="1:18" x14ac:dyDescent="0.25">
      <c r="A498" s="5" t="s">
        <v>976</v>
      </c>
      <c r="B498" s="14">
        <v>45696</v>
      </c>
      <c r="C498" s="5" t="s">
        <v>977</v>
      </c>
      <c r="D498" s="10" t="s">
        <v>20</v>
      </c>
      <c r="E498" s="10" t="s">
        <v>83</v>
      </c>
      <c r="F498" s="10" t="s">
        <v>22</v>
      </c>
      <c r="G498" s="15">
        <v>2</v>
      </c>
      <c r="H498" s="11">
        <v>851.67</v>
      </c>
      <c r="I498" s="12">
        <v>0</v>
      </c>
      <c r="J498" s="11">
        <v>1703.34</v>
      </c>
      <c r="K498" s="11">
        <v>1004.0242999999999</v>
      </c>
      <c r="L498" s="10" t="s">
        <v>17</v>
      </c>
      <c r="M498" s="5">
        <f t="shared" si="42"/>
        <v>2025</v>
      </c>
      <c r="N498" s="5">
        <f t="shared" si="43"/>
        <v>2</v>
      </c>
      <c r="O498" s="21">
        <f t="shared" si="44"/>
        <v>45689</v>
      </c>
      <c r="P498" s="13">
        <f t="shared" si="45"/>
        <v>0.58944444444444444</v>
      </c>
      <c r="Q498" s="5">
        <f t="shared" si="46"/>
        <v>202502</v>
      </c>
      <c r="R498" s="21">
        <f t="shared" si="47"/>
        <v>45689</v>
      </c>
    </row>
    <row r="499" spans="1:18" x14ac:dyDescent="0.25">
      <c r="A499" s="5" t="s">
        <v>978</v>
      </c>
      <c r="B499" s="14">
        <v>45766</v>
      </c>
      <c r="C499" s="5" t="s">
        <v>445</v>
      </c>
      <c r="D499" s="10" t="s">
        <v>26</v>
      </c>
      <c r="E499" s="10" t="s">
        <v>177</v>
      </c>
      <c r="F499" s="10" t="s">
        <v>49</v>
      </c>
      <c r="G499" s="15">
        <v>1</v>
      </c>
      <c r="H499" s="11">
        <v>4085.1770999999999</v>
      </c>
      <c r="I499" s="12">
        <v>0</v>
      </c>
      <c r="J499" s="11">
        <v>4085.1770999999999</v>
      </c>
      <c r="K499" s="11">
        <v>2122.5508999999997</v>
      </c>
      <c r="L499" s="10" t="s">
        <v>17</v>
      </c>
      <c r="M499" s="5">
        <f t="shared" si="42"/>
        <v>2025</v>
      </c>
      <c r="N499" s="5">
        <f t="shared" si="43"/>
        <v>4</v>
      </c>
      <c r="O499" s="21">
        <f t="shared" si="44"/>
        <v>45748</v>
      </c>
      <c r="P499" s="13">
        <f t="shared" si="45"/>
        <v>0.51957377808663419</v>
      </c>
      <c r="Q499" s="5">
        <f t="shared" si="46"/>
        <v>202504</v>
      </c>
      <c r="R499" s="21">
        <f t="shared" si="47"/>
        <v>45748</v>
      </c>
    </row>
    <row r="500" spans="1:18" x14ac:dyDescent="0.25">
      <c r="A500" s="5" t="s">
        <v>979</v>
      </c>
      <c r="B500" s="14">
        <v>45418</v>
      </c>
      <c r="C500" s="5" t="s">
        <v>980</v>
      </c>
      <c r="D500" s="10" t="s">
        <v>37</v>
      </c>
      <c r="E500" s="10" t="s">
        <v>21</v>
      </c>
      <c r="F500" s="10" t="s">
        <v>22</v>
      </c>
      <c r="G500" s="15">
        <v>2</v>
      </c>
      <c r="H500" s="11">
        <v>1990.0689</v>
      </c>
      <c r="I500" s="12">
        <v>5</v>
      </c>
      <c r="J500" s="11">
        <v>3781.4148</v>
      </c>
      <c r="K500" s="11">
        <v>2094.1618999999996</v>
      </c>
      <c r="L500" s="10" t="s">
        <v>17</v>
      </c>
      <c r="M500" s="5">
        <f t="shared" si="42"/>
        <v>2024</v>
      </c>
      <c r="N500" s="5">
        <f t="shared" si="43"/>
        <v>5</v>
      </c>
      <c r="O500" s="21">
        <f t="shared" si="44"/>
        <v>45413</v>
      </c>
      <c r="P500" s="13">
        <f t="shared" si="45"/>
        <v>0.55380380380380367</v>
      </c>
      <c r="Q500" s="5">
        <f t="shared" si="46"/>
        <v>202405</v>
      </c>
      <c r="R500" s="21">
        <f t="shared" si="47"/>
        <v>45413</v>
      </c>
    </row>
    <row r="501" spans="1:18" x14ac:dyDescent="0.25">
      <c r="A501" s="5" t="s">
        <v>981</v>
      </c>
      <c r="B501" s="14">
        <v>45409</v>
      </c>
      <c r="C501" s="5" t="s">
        <v>577</v>
      </c>
      <c r="D501" s="10" t="s">
        <v>14</v>
      </c>
      <c r="E501" s="10" t="s">
        <v>208</v>
      </c>
      <c r="F501" s="10" t="s">
        <v>22</v>
      </c>
      <c r="G501" s="15">
        <v>1</v>
      </c>
      <c r="H501" s="11">
        <v>2508.6413000000002</v>
      </c>
      <c r="I501" s="12">
        <v>15</v>
      </c>
      <c r="J501" s="11">
        <v>2132.0138999999999</v>
      </c>
      <c r="K501" s="11">
        <v>920.74990000000003</v>
      </c>
      <c r="L501" s="10" t="s">
        <v>23</v>
      </c>
      <c r="M501" s="5">
        <f t="shared" si="42"/>
        <v>2024</v>
      </c>
      <c r="N501" s="5">
        <f t="shared" si="43"/>
        <v>4</v>
      </c>
      <c r="O501" s="21">
        <f t="shared" si="44"/>
        <v>45383</v>
      </c>
      <c r="P501" s="13">
        <f t="shared" si="45"/>
        <v>0.43186861961828676</v>
      </c>
      <c r="Q501" s="5">
        <f t="shared" si="46"/>
        <v>202404</v>
      </c>
      <c r="R501" s="21">
        <f t="shared" si="47"/>
        <v>45383</v>
      </c>
    </row>
    <row r="502" spans="1:18" x14ac:dyDescent="0.25">
      <c r="A502" s="5" t="s">
        <v>982</v>
      </c>
      <c r="B502" s="14">
        <v>45585</v>
      </c>
      <c r="C502" s="5" t="s">
        <v>453</v>
      </c>
      <c r="D502" s="10" t="s">
        <v>37</v>
      </c>
      <c r="E502" s="10" t="s">
        <v>460</v>
      </c>
      <c r="F502" s="10" t="s">
        <v>75</v>
      </c>
      <c r="G502" s="15">
        <v>3</v>
      </c>
      <c r="H502" s="11">
        <v>1823.5201</v>
      </c>
      <c r="I502" s="12">
        <v>0</v>
      </c>
      <c r="J502" s="11">
        <v>5470.5603000000001</v>
      </c>
      <c r="K502" s="11">
        <v>1138.3988999999999</v>
      </c>
      <c r="L502" s="10" t="s">
        <v>17</v>
      </c>
      <c r="M502" s="5">
        <f t="shared" si="42"/>
        <v>2024</v>
      </c>
      <c r="N502" s="5">
        <f t="shared" si="43"/>
        <v>10</v>
      </c>
      <c r="O502" s="21">
        <f t="shared" si="44"/>
        <v>45566</v>
      </c>
      <c r="P502" s="13">
        <f t="shared" si="45"/>
        <v>0.20809548521017124</v>
      </c>
      <c r="Q502" s="5">
        <f t="shared" si="46"/>
        <v>202410</v>
      </c>
      <c r="R502" s="21">
        <f t="shared" si="47"/>
        <v>45566</v>
      </c>
    </row>
    <row r="503" spans="1:18" x14ac:dyDescent="0.25">
      <c r="A503" s="5" t="s">
        <v>983</v>
      </c>
      <c r="B503" s="14">
        <v>45550</v>
      </c>
      <c r="C503" s="5" t="s">
        <v>145</v>
      </c>
      <c r="D503" s="10" t="s">
        <v>42</v>
      </c>
      <c r="E503" s="10" t="s">
        <v>80</v>
      </c>
      <c r="F503" s="10" t="s">
        <v>16</v>
      </c>
      <c r="G503" s="15">
        <v>3</v>
      </c>
      <c r="H503" s="11">
        <v>5783.7855999999992</v>
      </c>
      <c r="I503" s="12">
        <v>0</v>
      </c>
      <c r="J503" s="11">
        <v>17351.356800000001</v>
      </c>
      <c r="K503" s="11">
        <v>2855.9333999999999</v>
      </c>
      <c r="L503" s="10" t="s">
        <v>17</v>
      </c>
      <c r="M503" s="5">
        <f t="shared" si="42"/>
        <v>2024</v>
      </c>
      <c r="N503" s="5">
        <f t="shared" si="43"/>
        <v>9</v>
      </c>
      <c r="O503" s="21">
        <f t="shared" si="44"/>
        <v>45536</v>
      </c>
      <c r="P503" s="13">
        <f t="shared" si="45"/>
        <v>0.1645942408376963</v>
      </c>
      <c r="Q503" s="5">
        <f t="shared" si="46"/>
        <v>202409</v>
      </c>
      <c r="R503" s="21">
        <f t="shared" si="47"/>
        <v>45536</v>
      </c>
    </row>
    <row r="504" spans="1:18" x14ac:dyDescent="0.25">
      <c r="A504" s="5" t="s">
        <v>984</v>
      </c>
      <c r="B504" s="14">
        <v>45632</v>
      </c>
      <c r="C504" s="5" t="s">
        <v>840</v>
      </c>
      <c r="D504" s="10" t="s">
        <v>26</v>
      </c>
      <c r="E504" s="10" t="s">
        <v>91</v>
      </c>
      <c r="F504" s="10" t="s">
        <v>49</v>
      </c>
      <c r="G504" s="15">
        <v>1</v>
      </c>
      <c r="H504" s="11">
        <v>3562.8194999999996</v>
      </c>
      <c r="I504" s="12">
        <v>10</v>
      </c>
      <c r="J504" s="11">
        <v>3207.0106999999998</v>
      </c>
      <c r="K504" s="11">
        <v>1277.5049999999999</v>
      </c>
      <c r="L504" s="10" t="s">
        <v>23</v>
      </c>
      <c r="M504" s="5">
        <f t="shared" si="42"/>
        <v>2024</v>
      </c>
      <c r="N504" s="5">
        <f t="shared" si="43"/>
        <v>12</v>
      </c>
      <c r="O504" s="21">
        <f t="shared" si="44"/>
        <v>45627</v>
      </c>
      <c r="P504" s="13">
        <f t="shared" si="45"/>
        <v>0.39834759516081436</v>
      </c>
      <c r="Q504" s="5">
        <f t="shared" si="46"/>
        <v>202412</v>
      </c>
      <c r="R504" s="21">
        <f t="shared" si="47"/>
        <v>45627</v>
      </c>
    </row>
    <row r="505" spans="1:18" x14ac:dyDescent="0.25">
      <c r="A505" s="5" t="s">
        <v>985</v>
      </c>
      <c r="B505" s="14">
        <v>45898</v>
      </c>
      <c r="C505" s="5" t="s">
        <v>986</v>
      </c>
      <c r="D505" s="10" t="s">
        <v>42</v>
      </c>
      <c r="E505" s="10" t="s">
        <v>55</v>
      </c>
      <c r="F505" s="10" t="s">
        <v>16</v>
      </c>
      <c r="G505" s="15">
        <v>5</v>
      </c>
      <c r="H505" s="11">
        <v>5750.6651000000002</v>
      </c>
      <c r="I505" s="12">
        <v>10</v>
      </c>
      <c r="J505" s="11">
        <v>25878.466100000001</v>
      </c>
      <c r="K505" s="11">
        <v>2889.0538999999999</v>
      </c>
      <c r="L505" s="10" t="s">
        <v>17</v>
      </c>
      <c r="M505" s="5">
        <f t="shared" si="42"/>
        <v>2025</v>
      </c>
      <c r="N505" s="5">
        <f t="shared" si="43"/>
        <v>8</v>
      </c>
      <c r="O505" s="21">
        <f t="shared" si="44"/>
        <v>45870</v>
      </c>
      <c r="P505" s="13">
        <f t="shared" si="45"/>
        <v>0.11163930230006947</v>
      </c>
      <c r="Q505" s="5">
        <f t="shared" si="46"/>
        <v>202508</v>
      </c>
      <c r="R505" s="21">
        <f t="shared" si="47"/>
        <v>45870</v>
      </c>
    </row>
    <row r="506" spans="1:18" x14ac:dyDescent="0.25">
      <c r="A506" s="5" t="s">
        <v>987</v>
      </c>
      <c r="B506" s="14">
        <v>45530</v>
      </c>
      <c r="C506" s="5" t="s">
        <v>988</v>
      </c>
      <c r="D506" s="10" t="s">
        <v>14</v>
      </c>
      <c r="E506" s="10" t="s">
        <v>141</v>
      </c>
      <c r="F506" s="10" t="s">
        <v>16</v>
      </c>
      <c r="G506" s="15">
        <v>1</v>
      </c>
      <c r="H506" s="11">
        <v>13405.2858</v>
      </c>
      <c r="I506" s="12">
        <v>5</v>
      </c>
      <c r="J506" s="11">
        <v>12735.305400000001</v>
      </c>
      <c r="K506" s="11">
        <v>2433.8835999999997</v>
      </c>
      <c r="L506" s="10" t="s">
        <v>17</v>
      </c>
      <c r="M506" s="5">
        <f t="shared" si="42"/>
        <v>2024</v>
      </c>
      <c r="N506" s="5">
        <f t="shared" si="43"/>
        <v>8</v>
      </c>
      <c r="O506" s="21">
        <f t="shared" si="44"/>
        <v>45505</v>
      </c>
      <c r="P506" s="13">
        <f t="shared" si="45"/>
        <v>0.19111309258433642</v>
      </c>
      <c r="Q506" s="5">
        <f t="shared" si="46"/>
        <v>202408</v>
      </c>
      <c r="R506" s="21">
        <f t="shared" si="47"/>
        <v>45505</v>
      </c>
    </row>
    <row r="507" spans="1:18" x14ac:dyDescent="0.25">
      <c r="A507" s="5" t="s">
        <v>989</v>
      </c>
      <c r="B507" s="14">
        <v>45994</v>
      </c>
      <c r="C507" s="5" t="s">
        <v>990</v>
      </c>
      <c r="D507" s="10" t="s">
        <v>26</v>
      </c>
      <c r="E507" s="10" t="s">
        <v>136</v>
      </c>
      <c r="F507" s="10" t="s">
        <v>75</v>
      </c>
      <c r="G507" s="15">
        <v>2</v>
      </c>
      <c r="H507" s="11">
        <v>4951.9878999999992</v>
      </c>
      <c r="I507" s="12">
        <v>15</v>
      </c>
      <c r="J507" s="11">
        <v>8418.2847999999994</v>
      </c>
      <c r="K507" s="11">
        <v>2699.7939000000001</v>
      </c>
      <c r="L507" s="10" t="s">
        <v>17</v>
      </c>
      <c r="M507" s="5">
        <f t="shared" si="42"/>
        <v>2025</v>
      </c>
      <c r="N507" s="5">
        <f t="shared" si="43"/>
        <v>12</v>
      </c>
      <c r="O507" s="21">
        <f t="shared" si="44"/>
        <v>45992</v>
      </c>
      <c r="P507" s="13">
        <f t="shared" si="45"/>
        <v>0.32070593525179858</v>
      </c>
      <c r="Q507" s="5">
        <f t="shared" si="46"/>
        <v>202512</v>
      </c>
      <c r="R507" s="21">
        <f t="shared" si="47"/>
        <v>45992</v>
      </c>
    </row>
    <row r="508" spans="1:18" x14ac:dyDescent="0.25">
      <c r="A508" s="5" t="s">
        <v>991</v>
      </c>
      <c r="B508" s="14">
        <v>45945</v>
      </c>
      <c r="C508" s="5" t="s">
        <v>822</v>
      </c>
      <c r="D508" s="10" t="s">
        <v>20</v>
      </c>
      <c r="E508" s="10" t="s">
        <v>61</v>
      </c>
      <c r="F508" s="10" t="s">
        <v>39</v>
      </c>
      <c r="G508" s="15">
        <v>4</v>
      </c>
      <c r="H508" s="11">
        <v>7036.6867999999995</v>
      </c>
      <c r="I508" s="12">
        <v>10</v>
      </c>
      <c r="J508" s="11">
        <v>25332.450999999997</v>
      </c>
      <c r="K508" s="11">
        <v>7497.5348999999997</v>
      </c>
      <c r="L508" s="10" t="s">
        <v>17</v>
      </c>
      <c r="M508" s="5">
        <f t="shared" si="42"/>
        <v>2025</v>
      </c>
      <c r="N508" s="5">
        <f t="shared" si="43"/>
        <v>10</v>
      </c>
      <c r="O508" s="21">
        <f t="shared" si="44"/>
        <v>45931</v>
      </c>
      <c r="P508" s="13">
        <f t="shared" si="45"/>
        <v>0.29596563317146063</v>
      </c>
      <c r="Q508" s="5">
        <f t="shared" si="46"/>
        <v>202510</v>
      </c>
      <c r="R508" s="21">
        <f t="shared" si="47"/>
        <v>45931</v>
      </c>
    </row>
    <row r="509" spans="1:18" x14ac:dyDescent="0.25">
      <c r="A509" s="5" t="s">
        <v>992</v>
      </c>
      <c r="B509" s="14">
        <v>45645</v>
      </c>
      <c r="C509" s="5" t="s">
        <v>219</v>
      </c>
      <c r="D509" s="10" t="s">
        <v>14</v>
      </c>
      <c r="E509" s="10" t="s">
        <v>52</v>
      </c>
      <c r="F509" s="10" t="s">
        <v>39</v>
      </c>
      <c r="G509" s="15">
        <v>5</v>
      </c>
      <c r="H509" s="11">
        <v>4555.4881999999998</v>
      </c>
      <c r="I509" s="12">
        <v>10</v>
      </c>
      <c r="J509" s="11">
        <v>20499.696899999999</v>
      </c>
      <c r="K509" s="11">
        <v>4725.8221999999996</v>
      </c>
      <c r="L509" s="10" t="s">
        <v>17</v>
      </c>
      <c r="M509" s="5">
        <f t="shared" si="42"/>
        <v>2024</v>
      </c>
      <c r="N509" s="5">
        <f t="shared" si="43"/>
        <v>12</v>
      </c>
      <c r="O509" s="21">
        <f t="shared" si="44"/>
        <v>45627</v>
      </c>
      <c r="P509" s="13">
        <f t="shared" si="45"/>
        <v>0.23053132068503901</v>
      </c>
      <c r="Q509" s="5">
        <f t="shared" si="46"/>
        <v>202412</v>
      </c>
      <c r="R509" s="21">
        <f t="shared" si="47"/>
        <v>45627</v>
      </c>
    </row>
    <row r="510" spans="1:18" x14ac:dyDescent="0.25">
      <c r="A510" s="5" t="s">
        <v>993</v>
      </c>
      <c r="B510" s="14">
        <v>45298</v>
      </c>
      <c r="C510" s="5" t="s">
        <v>994</v>
      </c>
      <c r="D510" s="10" t="s">
        <v>42</v>
      </c>
      <c r="E510" s="10" t="s">
        <v>80</v>
      </c>
      <c r="F510" s="10" t="s">
        <v>16</v>
      </c>
      <c r="G510" s="15">
        <v>1</v>
      </c>
      <c r="H510" s="11">
        <v>8136.2874000000002</v>
      </c>
      <c r="I510" s="12">
        <v>10</v>
      </c>
      <c r="J510" s="11">
        <v>7322.469399999999</v>
      </c>
      <c r="K510" s="11">
        <v>840.31439999999998</v>
      </c>
      <c r="L510" s="10" t="s">
        <v>23</v>
      </c>
      <c r="M510" s="5">
        <f t="shared" si="42"/>
        <v>2024</v>
      </c>
      <c r="N510" s="5">
        <f t="shared" si="43"/>
        <v>1</v>
      </c>
      <c r="O510" s="21">
        <f t="shared" si="44"/>
        <v>45292</v>
      </c>
      <c r="P510" s="13">
        <f t="shared" si="45"/>
        <v>0.11475833548720601</v>
      </c>
      <c r="Q510" s="5">
        <f t="shared" si="46"/>
        <v>202401</v>
      </c>
      <c r="R510" s="21">
        <f t="shared" si="47"/>
        <v>45292</v>
      </c>
    </row>
    <row r="511" spans="1:18" x14ac:dyDescent="0.25">
      <c r="A511" s="5" t="s">
        <v>995</v>
      </c>
      <c r="B511" s="14">
        <v>45953</v>
      </c>
      <c r="C511" s="5" t="s">
        <v>996</v>
      </c>
      <c r="D511" s="10" t="s">
        <v>37</v>
      </c>
      <c r="E511" s="10" t="s">
        <v>43</v>
      </c>
      <c r="F511" s="10" t="s">
        <v>22</v>
      </c>
      <c r="G511" s="15">
        <v>1</v>
      </c>
      <c r="H511" s="11">
        <v>1856.6405999999999</v>
      </c>
      <c r="I511" s="12">
        <v>10</v>
      </c>
      <c r="J511" s="11">
        <v>1671.1658</v>
      </c>
      <c r="K511" s="11">
        <v>1063.6412</v>
      </c>
      <c r="L511" s="10" t="s">
        <v>17</v>
      </c>
      <c r="M511" s="5">
        <f t="shared" si="42"/>
        <v>2025</v>
      </c>
      <c r="N511" s="5">
        <f t="shared" si="43"/>
        <v>10</v>
      </c>
      <c r="O511" s="21">
        <f t="shared" si="44"/>
        <v>45931</v>
      </c>
      <c r="P511" s="13">
        <f t="shared" si="45"/>
        <v>0.63646659116647797</v>
      </c>
      <c r="Q511" s="5">
        <f t="shared" si="46"/>
        <v>202510</v>
      </c>
      <c r="R511" s="21">
        <f t="shared" si="47"/>
        <v>45931</v>
      </c>
    </row>
    <row r="512" spans="1:18" x14ac:dyDescent="0.25">
      <c r="A512" s="5" t="s">
        <v>997</v>
      </c>
      <c r="B512" s="14">
        <v>45545</v>
      </c>
      <c r="C512" s="5" t="s">
        <v>417</v>
      </c>
      <c r="D512" s="10" t="s">
        <v>14</v>
      </c>
      <c r="E512" s="10" t="s">
        <v>232</v>
      </c>
      <c r="F512" s="10" t="s">
        <v>22</v>
      </c>
      <c r="G512" s="15">
        <v>1</v>
      </c>
      <c r="H512" s="11">
        <v>3813.5889999999995</v>
      </c>
      <c r="I512" s="12">
        <v>10</v>
      </c>
      <c r="J512" s="11">
        <v>3432.2301000000002</v>
      </c>
      <c r="K512" s="11">
        <v>2128.2286999999997</v>
      </c>
      <c r="L512" s="10" t="s">
        <v>17</v>
      </c>
      <c r="M512" s="5">
        <f t="shared" si="42"/>
        <v>2024</v>
      </c>
      <c r="N512" s="5">
        <f t="shared" si="43"/>
        <v>9</v>
      </c>
      <c r="O512" s="21">
        <f t="shared" si="44"/>
        <v>45536</v>
      </c>
      <c r="P512" s="13">
        <f t="shared" si="45"/>
        <v>0.62007168458781348</v>
      </c>
      <c r="Q512" s="5">
        <f t="shared" si="46"/>
        <v>202409</v>
      </c>
      <c r="R512" s="21">
        <f t="shared" si="47"/>
        <v>45536</v>
      </c>
    </row>
    <row r="513" spans="1:18" x14ac:dyDescent="0.25">
      <c r="A513" s="5" t="s">
        <v>998</v>
      </c>
      <c r="B513" s="14">
        <v>45466</v>
      </c>
      <c r="C513" s="5" t="s">
        <v>525</v>
      </c>
      <c r="D513" s="10" t="s">
        <v>14</v>
      </c>
      <c r="E513" s="10" t="s">
        <v>111</v>
      </c>
      <c r="F513" s="10" t="s">
        <v>49</v>
      </c>
      <c r="G513" s="15">
        <v>4</v>
      </c>
      <c r="H513" s="11">
        <v>8109.7910000000002</v>
      </c>
      <c r="I513" s="12">
        <v>5</v>
      </c>
      <c r="J513" s="11">
        <v>30817.2058</v>
      </c>
      <c r="K513" s="11">
        <v>13117.6106</v>
      </c>
      <c r="L513" s="10" t="s">
        <v>17</v>
      </c>
      <c r="M513" s="5">
        <f t="shared" si="42"/>
        <v>2024</v>
      </c>
      <c r="N513" s="5">
        <f t="shared" si="43"/>
        <v>6</v>
      </c>
      <c r="O513" s="21">
        <f t="shared" si="44"/>
        <v>45444</v>
      </c>
      <c r="P513" s="13">
        <f t="shared" si="45"/>
        <v>0.42565866240864708</v>
      </c>
      <c r="Q513" s="5">
        <f t="shared" si="46"/>
        <v>202406</v>
      </c>
      <c r="R513" s="21">
        <f t="shared" si="47"/>
        <v>45444</v>
      </c>
    </row>
    <row r="514" spans="1:18" x14ac:dyDescent="0.25">
      <c r="A514" s="5" t="s">
        <v>999</v>
      </c>
      <c r="B514" s="14">
        <v>45777</v>
      </c>
      <c r="C514" s="5" t="s">
        <v>980</v>
      </c>
      <c r="D514" s="10" t="s">
        <v>20</v>
      </c>
      <c r="E514" s="10" t="s">
        <v>43</v>
      </c>
      <c r="F514" s="10" t="s">
        <v>22</v>
      </c>
      <c r="G514" s="15">
        <v>1</v>
      </c>
      <c r="H514" s="11">
        <v>1369.2961</v>
      </c>
      <c r="I514" s="12">
        <v>5</v>
      </c>
      <c r="J514" s="11">
        <v>1301.1624999999999</v>
      </c>
      <c r="K514" s="11">
        <v>762.71780000000001</v>
      </c>
      <c r="L514" s="10" t="s">
        <v>23</v>
      </c>
      <c r="M514" s="5">
        <f t="shared" ref="M514:M577" si="48">YEAR(B514)</f>
        <v>2025</v>
      </c>
      <c r="N514" s="5">
        <f t="shared" ref="N514:N577" si="49">MONTH(B514)</f>
        <v>4</v>
      </c>
      <c r="O514" s="21">
        <f t="shared" ref="O514:O577" si="50">DATE(YEAR(B514),MONTH(B514),1)</f>
        <v>45748</v>
      </c>
      <c r="P514" s="13">
        <f t="shared" ref="P514:P577" si="51">(K514/J514)</f>
        <v>0.58618181818181825</v>
      </c>
      <c r="Q514" s="5">
        <f t="shared" ref="Q514:Q577" si="52">YEAR(B514)*100+MONTH(B514)</f>
        <v>202504</v>
      </c>
      <c r="R514" s="21">
        <f t="shared" ref="R514:R577" si="53">DATE(YEAR(B514),MONTH(B514),1)</f>
        <v>45748</v>
      </c>
    </row>
    <row r="515" spans="1:18" x14ac:dyDescent="0.25">
      <c r="A515" s="5" t="s">
        <v>1000</v>
      </c>
      <c r="B515" s="14">
        <v>45740</v>
      </c>
      <c r="C515" s="5" t="s">
        <v>1001</v>
      </c>
      <c r="D515" s="10" t="s">
        <v>37</v>
      </c>
      <c r="E515" s="10" t="s">
        <v>253</v>
      </c>
      <c r="F515" s="10" t="s">
        <v>49</v>
      </c>
      <c r="G515" s="15">
        <v>2</v>
      </c>
      <c r="H515" s="11">
        <v>7812.6527999999998</v>
      </c>
      <c r="I515" s="12">
        <v>5</v>
      </c>
      <c r="J515" s="11">
        <v>14843.6618</v>
      </c>
      <c r="K515" s="11">
        <v>4776.9223999999995</v>
      </c>
      <c r="L515" s="10" t="s">
        <v>17</v>
      </c>
      <c r="M515" s="5">
        <f t="shared" si="48"/>
        <v>2025</v>
      </c>
      <c r="N515" s="5">
        <f t="shared" si="49"/>
        <v>3</v>
      </c>
      <c r="O515" s="21">
        <f t="shared" si="50"/>
        <v>45717</v>
      </c>
      <c r="P515" s="13">
        <f t="shared" si="51"/>
        <v>0.32181563177355599</v>
      </c>
      <c r="Q515" s="5">
        <f t="shared" si="52"/>
        <v>202503</v>
      </c>
      <c r="R515" s="21">
        <f t="shared" si="53"/>
        <v>45717</v>
      </c>
    </row>
    <row r="516" spans="1:18" x14ac:dyDescent="0.25">
      <c r="A516" s="5" t="s">
        <v>1002</v>
      </c>
      <c r="B516" s="14">
        <v>45996</v>
      </c>
      <c r="C516" s="5" t="s">
        <v>1003</v>
      </c>
      <c r="D516" s="10" t="s">
        <v>14</v>
      </c>
      <c r="E516" s="10" t="s">
        <v>27</v>
      </c>
      <c r="F516" s="10" t="s">
        <v>22</v>
      </c>
      <c r="G516" s="15">
        <v>1</v>
      </c>
      <c r="H516" s="11">
        <v>4252.6722</v>
      </c>
      <c r="I516" s="12">
        <v>0</v>
      </c>
      <c r="J516" s="11">
        <v>4252.6722</v>
      </c>
      <c r="K516" s="11">
        <v>1913.4185999999997</v>
      </c>
      <c r="L516" s="10" t="s">
        <v>17</v>
      </c>
      <c r="M516" s="5">
        <f t="shared" si="48"/>
        <v>2025</v>
      </c>
      <c r="N516" s="5">
        <f t="shared" si="49"/>
        <v>12</v>
      </c>
      <c r="O516" s="21">
        <f t="shared" si="50"/>
        <v>45992</v>
      </c>
      <c r="P516" s="13">
        <f t="shared" si="51"/>
        <v>0.44993324432576765</v>
      </c>
      <c r="Q516" s="5">
        <f t="shared" si="52"/>
        <v>202512</v>
      </c>
      <c r="R516" s="21">
        <f t="shared" si="53"/>
        <v>45992</v>
      </c>
    </row>
    <row r="517" spans="1:18" x14ac:dyDescent="0.25">
      <c r="A517" s="5" t="s">
        <v>1004</v>
      </c>
      <c r="B517" s="14">
        <v>45624</v>
      </c>
      <c r="C517" s="5" t="s">
        <v>711</v>
      </c>
      <c r="D517" s="10" t="s">
        <v>26</v>
      </c>
      <c r="E517" s="10" t="s">
        <v>184</v>
      </c>
      <c r="F517" s="10" t="s">
        <v>49</v>
      </c>
      <c r="G517" s="15">
        <v>2</v>
      </c>
      <c r="H517" s="11">
        <v>5640.8942999999999</v>
      </c>
      <c r="I517" s="12">
        <v>15</v>
      </c>
      <c r="J517" s="11">
        <v>9589.8042000000005</v>
      </c>
      <c r="K517" s="11">
        <v>4299.0409</v>
      </c>
      <c r="L517" s="10" t="s">
        <v>23</v>
      </c>
      <c r="M517" s="5">
        <f t="shared" si="48"/>
        <v>2024</v>
      </c>
      <c r="N517" s="5">
        <f t="shared" si="49"/>
        <v>11</v>
      </c>
      <c r="O517" s="21">
        <f t="shared" si="50"/>
        <v>45597</v>
      </c>
      <c r="P517" s="13">
        <f t="shared" si="51"/>
        <v>0.44829287546871915</v>
      </c>
      <c r="Q517" s="5">
        <f t="shared" si="52"/>
        <v>202411</v>
      </c>
      <c r="R517" s="21">
        <f t="shared" si="53"/>
        <v>45597</v>
      </c>
    </row>
    <row r="518" spans="1:18" x14ac:dyDescent="0.25">
      <c r="A518" s="5" t="s">
        <v>1005</v>
      </c>
      <c r="B518" s="14">
        <v>45369</v>
      </c>
      <c r="C518" s="5" t="s">
        <v>801</v>
      </c>
      <c r="D518" s="10" t="s">
        <v>26</v>
      </c>
      <c r="E518" s="10" t="s">
        <v>48</v>
      </c>
      <c r="F518" s="10" t="s">
        <v>49</v>
      </c>
      <c r="G518" s="15">
        <v>3</v>
      </c>
      <c r="H518" s="11">
        <v>5914.375</v>
      </c>
      <c r="I518" s="12">
        <v>10</v>
      </c>
      <c r="J518" s="11">
        <v>15968.8125</v>
      </c>
      <c r="K518" s="11">
        <v>7409.5289999999995</v>
      </c>
      <c r="L518" s="10" t="s">
        <v>17</v>
      </c>
      <c r="M518" s="5">
        <f t="shared" si="48"/>
        <v>2024</v>
      </c>
      <c r="N518" s="5">
        <f t="shared" si="49"/>
        <v>3</v>
      </c>
      <c r="O518" s="21">
        <f t="shared" si="50"/>
        <v>45352</v>
      </c>
      <c r="P518" s="13">
        <f t="shared" si="51"/>
        <v>0.46399999999999997</v>
      </c>
      <c r="Q518" s="5">
        <f t="shared" si="52"/>
        <v>202403</v>
      </c>
      <c r="R518" s="21">
        <f t="shared" si="53"/>
        <v>45352</v>
      </c>
    </row>
    <row r="519" spans="1:18" x14ac:dyDescent="0.25">
      <c r="A519" s="5" t="s">
        <v>1006</v>
      </c>
      <c r="B519" s="14">
        <v>45797</v>
      </c>
      <c r="C519" s="5" t="s">
        <v>496</v>
      </c>
      <c r="D519" s="10" t="s">
        <v>20</v>
      </c>
      <c r="E519" s="10" t="s">
        <v>52</v>
      </c>
      <c r="F519" s="10" t="s">
        <v>39</v>
      </c>
      <c r="G519" s="15">
        <v>2</v>
      </c>
      <c r="H519" s="11">
        <v>5449.7417000000005</v>
      </c>
      <c r="I519" s="12">
        <v>25</v>
      </c>
      <c r="J519" s="11">
        <v>8175.0856999999996</v>
      </c>
      <c r="K519" s="11">
        <v>2436.7224999999999</v>
      </c>
      <c r="L519" s="10" t="s">
        <v>17</v>
      </c>
      <c r="M519" s="5">
        <f t="shared" si="48"/>
        <v>2025</v>
      </c>
      <c r="N519" s="5">
        <f t="shared" si="49"/>
        <v>5</v>
      </c>
      <c r="O519" s="21">
        <f t="shared" si="50"/>
        <v>45778</v>
      </c>
      <c r="P519" s="13">
        <f t="shared" si="51"/>
        <v>0.29806690589188561</v>
      </c>
      <c r="Q519" s="5">
        <f t="shared" si="52"/>
        <v>202505</v>
      </c>
      <c r="R519" s="21">
        <f t="shared" si="53"/>
        <v>45778</v>
      </c>
    </row>
    <row r="520" spans="1:18" x14ac:dyDescent="0.25">
      <c r="A520" s="5" t="s">
        <v>1007</v>
      </c>
      <c r="B520" s="14">
        <v>45333</v>
      </c>
      <c r="C520" s="5" t="s">
        <v>1008</v>
      </c>
      <c r="D520" s="10" t="s">
        <v>20</v>
      </c>
      <c r="E520" s="10" t="s">
        <v>187</v>
      </c>
      <c r="F520" s="10" t="s">
        <v>75</v>
      </c>
      <c r="G520" s="15">
        <v>1</v>
      </c>
      <c r="H520" s="11">
        <v>3706.6570999999999</v>
      </c>
      <c r="I520" s="12">
        <v>5</v>
      </c>
      <c r="J520" s="11">
        <v>3521.1822999999999</v>
      </c>
      <c r="K520" s="11">
        <v>1032.4132999999999</v>
      </c>
      <c r="L520" s="10" t="s">
        <v>23</v>
      </c>
      <c r="M520" s="5">
        <f t="shared" si="48"/>
        <v>2024</v>
      </c>
      <c r="N520" s="5">
        <f t="shared" si="49"/>
        <v>2</v>
      </c>
      <c r="O520" s="21">
        <f t="shared" si="50"/>
        <v>45323</v>
      </c>
      <c r="P520" s="13">
        <f t="shared" si="51"/>
        <v>0.29320075248589089</v>
      </c>
      <c r="Q520" s="5">
        <f t="shared" si="52"/>
        <v>202402</v>
      </c>
      <c r="R520" s="21">
        <f t="shared" si="53"/>
        <v>45323</v>
      </c>
    </row>
    <row r="521" spans="1:18" x14ac:dyDescent="0.25">
      <c r="A521" s="5" t="s">
        <v>1009</v>
      </c>
      <c r="B521" s="14">
        <v>45818</v>
      </c>
      <c r="C521" s="5" t="s">
        <v>1010</v>
      </c>
      <c r="D521" s="10" t="s">
        <v>26</v>
      </c>
      <c r="E521" s="10" t="s">
        <v>187</v>
      </c>
      <c r="F521" s="10" t="s">
        <v>75</v>
      </c>
      <c r="G521" s="15">
        <v>2</v>
      </c>
      <c r="H521" s="11">
        <v>1554.7709</v>
      </c>
      <c r="I521" s="12">
        <v>0</v>
      </c>
      <c r="J521" s="11">
        <v>3109.5418</v>
      </c>
      <c r="K521" s="11">
        <v>523.3039</v>
      </c>
      <c r="L521" s="10" t="s">
        <v>34</v>
      </c>
      <c r="M521" s="5">
        <f t="shared" si="48"/>
        <v>2025</v>
      </c>
      <c r="N521" s="5">
        <f t="shared" si="49"/>
        <v>6</v>
      </c>
      <c r="O521" s="21">
        <f t="shared" si="50"/>
        <v>45809</v>
      </c>
      <c r="P521" s="13">
        <f t="shared" si="51"/>
        <v>0.16828971393791844</v>
      </c>
      <c r="Q521" s="5">
        <f t="shared" si="52"/>
        <v>202506</v>
      </c>
      <c r="R521" s="21">
        <f t="shared" si="53"/>
        <v>45809</v>
      </c>
    </row>
    <row r="522" spans="1:18" x14ac:dyDescent="0.25">
      <c r="A522" s="5" t="s">
        <v>1011</v>
      </c>
      <c r="B522" s="14">
        <v>45448</v>
      </c>
      <c r="C522" s="5" t="s">
        <v>496</v>
      </c>
      <c r="D522" s="10" t="s">
        <v>37</v>
      </c>
      <c r="E522" s="10" t="s">
        <v>30</v>
      </c>
      <c r="F522" s="10" t="s">
        <v>16</v>
      </c>
      <c r="G522" s="15">
        <v>1</v>
      </c>
      <c r="H522" s="11">
        <v>12472.234</v>
      </c>
      <c r="I522" s="12">
        <v>25</v>
      </c>
      <c r="J522" s="11">
        <v>9354.1754999999994</v>
      </c>
      <c r="K522" s="11">
        <v>1710.9103999999998</v>
      </c>
      <c r="L522" s="10" t="s">
        <v>17</v>
      </c>
      <c r="M522" s="5">
        <f t="shared" si="48"/>
        <v>2024</v>
      </c>
      <c r="N522" s="5">
        <f t="shared" si="49"/>
        <v>6</v>
      </c>
      <c r="O522" s="21">
        <f t="shared" si="50"/>
        <v>45444</v>
      </c>
      <c r="P522" s="13">
        <f t="shared" si="51"/>
        <v>0.18290338897319169</v>
      </c>
      <c r="Q522" s="5">
        <f t="shared" si="52"/>
        <v>202406</v>
      </c>
      <c r="R522" s="21">
        <f t="shared" si="53"/>
        <v>45444</v>
      </c>
    </row>
    <row r="523" spans="1:18" x14ac:dyDescent="0.25">
      <c r="A523" s="5" t="s">
        <v>1012</v>
      </c>
      <c r="B523" s="14">
        <v>45547</v>
      </c>
      <c r="C523" s="5" t="s">
        <v>1013</v>
      </c>
      <c r="D523" s="10" t="s">
        <v>14</v>
      </c>
      <c r="E523" s="10" t="s">
        <v>111</v>
      </c>
      <c r="F523" s="10" t="s">
        <v>49</v>
      </c>
      <c r="G523" s="15">
        <v>1</v>
      </c>
      <c r="H523" s="11">
        <v>4191.1626999999999</v>
      </c>
      <c r="I523" s="12">
        <v>5</v>
      </c>
      <c r="J523" s="11">
        <v>3982.0303999999996</v>
      </c>
      <c r="K523" s="11">
        <v>1384.4368999999999</v>
      </c>
      <c r="L523" s="10" t="s">
        <v>23</v>
      </c>
      <c r="M523" s="5">
        <f t="shared" si="48"/>
        <v>2024</v>
      </c>
      <c r="N523" s="5">
        <f t="shared" si="49"/>
        <v>9</v>
      </c>
      <c r="O523" s="21">
        <f t="shared" si="50"/>
        <v>45536</v>
      </c>
      <c r="P523" s="13">
        <f t="shared" si="51"/>
        <v>0.34767110266159695</v>
      </c>
      <c r="Q523" s="5">
        <f t="shared" si="52"/>
        <v>202409</v>
      </c>
      <c r="R523" s="21">
        <f t="shared" si="53"/>
        <v>45536</v>
      </c>
    </row>
    <row r="524" spans="1:18" x14ac:dyDescent="0.25">
      <c r="A524" s="5" t="s">
        <v>1014</v>
      </c>
      <c r="B524" s="14">
        <v>45613</v>
      </c>
      <c r="C524" s="5" t="s">
        <v>1015</v>
      </c>
      <c r="D524" s="10" t="s">
        <v>26</v>
      </c>
      <c r="E524" s="10" t="s">
        <v>69</v>
      </c>
      <c r="F524" s="10" t="s">
        <v>39</v>
      </c>
      <c r="G524" s="15">
        <v>2</v>
      </c>
      <c r="H524" s="11">
        <v>6080.9238000000005</v>
      </c>
      <c r="I524" s="12">
        <v>0</v>
      </c>
      <c r="J524" s="11">
        <v>12161.847600000001</v>
      </c>
      <c r="K524" s="11">
        <v>4122.0828000000001</v>
      </c>
      <c r="L524" s="10" t="s">
        <v>23</v>
      </c>
      <c r="M524" s="5">
        <f t="shared" si="48"/>
        <v>2024</v>
      </c>
      <c r="N524" s="5">
        <f t="shared" si="49"/>
        <v>11</v>
      </c>
      <c r="O524" s="21">
        <f t="shared" si="50"/>
        <v>45597</v>
      </c>
      <c r="P524" s="13">
        <f t="shared" si="51"/>
        <v>0.33893557422969184</v>
      </c>
      <c r="Q524" s="5">
        <f t="shared" si="52"/>
        <v>202411</v>
      </c>
      <c r="R524" s="21">
        <f t="shared" si="53"/>
        <v>45597</v>
      </c>
    </row>
    <row r="525" spans="1:18" x14ac:dyDescent="0.25">
      <c r="A525" s="5" t="s">
        <v>1016</v>
      </c>
      <c r="B525" s="14">
        <v>45589</v>
      </c>
      <c r="C525" s="5" t="s">
        <v>1017</v>
      </c>
      <c r="D525" s="10" t="s">
        <v>37</v>
      </c>
      <c r="E525" s="10" t="s">
        <v>21</v>
      </c>
      <c r="F525" s="10" t="s">
        <v>22</v>
      </c>
      <c r="G525" s="15">
        <v>3</v>
      </c>
      <c r="H525" s="11">
        <v>2084.6988999999999</v>
      </c>
      <c r="I525" s="12">
        <v>5</v>
      </c>
      <c r="J525" s="11">
        <v>5941.8176999999996</v>
      </c>
      <c r="K525" s="11">
        <v>3123.7362999999996</v>
      </c>
      <c r="L525" s="10" t="s">
        <v>17</v>
      </c>
      <c r="M525" s="5">
        <f t="shared" si="48"/>
        <v>2024</v>
      </c>
      <c r="N525" s="5">
        <f t="shared" si="49"/>
        <v>10</v>
      </c>
      <c r="O525" s="21">
        <f t="shared" si="50"/>
        <v>45566</v>
      </c>
      <c r="P525" s="13">
        <f t="shared" si="51"/>
        <v>0.52572065615543873</v>
      </c>
      <c r="Q525" s="5">
        <f t="shared" si="52"/>
        <v>202410</v>
      </c>
      <c r="R525" s="21">
        <f t="shared" si="53"/>
        <v>45566</v>
      </c>
    </row>
    <row r="526" spans="1:18" x14ac:dyDescent="0.25">
      <c r="A526" s="5" t="s">
        <v>1018</v>
      </c>
      <c r="B526" s="14">
        <v>45962</v>
      </c>
      <c r="C526" s="5" t="s">
        <v>933</v>
      </c>
      <c r="D526" s="10" t="s">
        <v>42</v>
      </c>
      <c r="E526" s="10" t="s">
        <v>502</v>
      </c>
      <c r="F526" s="10" t="s">
        <v>22</v>
      </c>
      <c r="G526" s="15">
        <v>1</v>
      </c>
      <c r="H526" s="11">
        <v>1329.5515</v>
      </c>
      <c r="I526" s="12">
        <v>10</v>
      </c>
      <c r="J526" s="11">
        <v>1197.0695000000001</v>
      </c>
      <c r="K526" s="11">
        <v>670.92669999999998</v>
      </c>
      <c r="L526" s="10" t="s">
        <v>17</v>
      </c>
      <c r="M526" s="5">
        <f t="shared" si="48"/>
        <v>2025</v>
      </c>
      <c r="N526" s="5">
        <f t="shared" si="49"/>
        <v>11</v>
      </c>
      <c r="O526" s="21">
        <f t="shared" si="50"/>
        <v>45962</v>
      </c>
      <c r="P526" s="13">
        <f t="shared" si="51"/>
        <v>0.56047430830039524</v>
      </c>
      <c r="Q526" s="5">
        <f t="shared" si="52"/>
        <v>202511</v>
      </c>
      <c r="R526" s="21">
        <f t="shared" si="53"/>
        <v>45962</v>
      </c>
    </row>
    <row r="527" spans="1:18" x14ac:dyDescent="0.25">
      <c r="A527" s="5" t="s">
        <v>1019</v>
      </c>
      <c r="B527" s="14">
        <v>45555</v>
      </c>
      <c r="C527" s="5" t="s">
        <v>664</v>
      </c>
      <c r="D527" s="10" t="s">
        <v>14</v>
      </c>
      <c r="E527" s="10" t="s">
        <v>269</v>
      </c>
      <c r="F527" s="10" t="s">
        <v>75</v>
      </c>
      <c r="G527" s="15">
        <v>1</v>
      </c>
      <c r="H527" s="11">
        <v>1034.3058999999998</v>
      </c>
      <c r="I527" s="12">
        <v>15</v>
      </c>
      <c r="J527" s="11">
        <v>879.1126999999999</v>
      </c>
      <c r="K527" s="11">
        <v>173.1729</v>
      </c>
      <c r="L527" s="10" t="s">
        <v>17</v>
      </c>
      <c r="M527" s="5">
        <f t="shared" si="48"/>
        <v>2024</v>
      </c>
      <c r="N527" s="5">
        <f t="shared" si="49"/>
        <v>9</v>
      </c>
      <c r="O527" s="21">
        <f t="shared" si="50"/>
        <v>45536</v>
      </c>
      <c r="P527" s="13">
        <f t="shared" si="51"/>
        <v>0.1969860064585576</v>
      </c>
      <c r="Q527" s="5">
        <f t="shared" si="52"/>
        <v>202409</v>
      </c>
      <c r="R527" s="21">
        <f t="shared" si="53"/>
        <v>45536</v>
      </c>
    </row>
    <row r="528" spans="1:18" x14ac:dyDescent="0.25">
      <c r="A528" s="5" t="s">
        <v>1020</v>
      </c>
      <c r="B528" s="14">
        <v>45756</v>
      </c>
      <c r="C528" s="5" t="s">
        <v>1015</v>
      </c>
      <c r="D528" s="10" t="s">
        <v>26</v>
      </c>
      <c r="E528" s="10" t="s">
        <v>48</v>
      </c>
      <c r="F528" s="10" t="s">
        <v>49</v>
      </c>
      <c r="G528" s="15">
        <v>4</v>
      </c>
      <c r="H528" s="11">
        <v>1930.4519999999998</v>
      </c>
      <c r="I528" s="12">
        <v>20</v>
      </c>
      <c r="J528" s="11">
        <v>6177.4463999999998</v>
      </c>
      <c r="K528" s="11">
        <v>3328.1370999999999</v>
      </c>
      <c r="L528" s="10" t="s">
        <v>17</v>
      </c>
      <c r="M528" s="5">
        <f t="shared" si="48"/>
        <v>2025</v>
      </c>
      <c r="N528" s="5">
        <f t="shared" si="49"/>
        <v>4</v>
      </c>
      <c r="O528" s="21">
        <f t="shared" si="50"/>
        <v>45748</v>
      </c>
      <c r="P528" s="13">
        <f t="shared" si="51"/>
        <v>0.53875612745098045</v>
      </c>
      <c r="Q528" s="5">
        <f t="shared" si="52"/>
        <v>202504</v>
      </c>
      <c r="R528" s="21">
        <f t="shared" si="53"/>
        <v>45748</v>
      </c>
    </row>
    <row r="529" spans="1:18" x14ac:dyDescent="0.25">
      <c r="A529" s="5" t="s">
        <v>1021</v>
      </c>
      <c r="B529" s="14">
        <v>45344</v>
      </c>
      <c r="C529" s="5" t="s">
        <v>611</v>
      </c>
      <c r="D529" s="10" t="s">
        <v>26</v>
      </c>
      <c r="E529" s="10" t="s">
        <v>27</v>
      </c>
      <c r="F529" s="10" t="s">
        <v>22</v>
      </c>
      <c r="G529" s="15">
        <v>2</v>
      </c>
      <c r="H529" s="11">
        <v>2764.1423</v>
      </c>
      <c r="I529" s="12">
        <v>10</v>
      </c>
      <c r="J529" s="11">
        <v>4975.6453999999994</v>
      </c>
      <c r="K529" s="11">
        <v>2453.7558999999997</v>
      </c>
      <c r="L529" s="10" t="s">
        <v>17</v>
      </c>
      <c r="M529" s="5">
        <f t="shared" si="48"/>
        <v>2024</v>
      </c>
      <c r="N529" s="5">
        <f t="shared" si="49"/>
        <v>2</v>
      </c>
      <c r="O529" s="21">
        <f t="shared" si="50"/>
        <v>45323</v>
      </c>
      <c r="P529" s="13">
        <f t="shared" si="51"/>
        <v>0.49315329022441989</v>
      </c>
      <c r="Q529" s="5">
        <f t="shared" si="52"/>
        <v>202402</v>
      </c>
      <c r="R529" s="21">
        <f t="shared" si="53"/>
        <v>45323</v>
      </c>
    </row>
    <row r="530" spans="1:18" x14ac:dyDescent="0.25">
      <c r="A530" s="5" t="s">
        <v>1022</v>
      </c>
      <c r="B530" s="14">
        <v>45394</v>
      </c>
      <c r="C530" s="5" t="s">
        <v>1023</v>
      </c>
      <c r="D530" s="10" t="s">
        <v>37</v>
      </c>
      <c r="E530" s="10" t="s">
        <v>118</v>
      </c>
      <c r="F530" s="10" t="s">
        <v>49</v>
      </c>
      <c r="G530" s="15">
        <v>2</v>
      </c>
      <c r="H530" s="11">
        <v>6798.2191999999995</v>
      </c>
      <c r="I530" s="12">
        <v>5</v>
      </c>
      <c r="J530" s="11">
        <v>12916.994999999999</v>
      </c>
      <c r="K530" s="11">
        <v>3931.8764999999994</v>
      </c>
      <c r="L530" s="10" t="s">
        <v>23</v>
      </c>
      <c r="M530" s="5">
        <f t="shared" si="48"/>
        <v>2024</v>
      </c>
      <c r="N530" s="5">
        <f t="shared" si="49"/>
        <v>4</v>
      </c>
      <c r="O530" s="21">
        <f t="shared" si="50"/>
        <v>45383</v>
      </c>
      <c r="P530" s="13">
        <f t="shared" si="51"/>
        <v>0.30439560439560437</v>
      </c>
      <c r="Q530" s="5">
        <f t="shared" si="52"/>
        <v>202404</v>
      </c>
      <c r="R530" s="21">
        <f t="shared" si="53"/>
        <v>45383</v>
      </c>
    </row>
    <row r="531" spans="1:18" x14ac:dyDescent="0.25">
      <c r="A531" s="5" t="s">
        <v>1024</v>
      </c>
      <c r="B531" s="14">
        <v>45881</v>
      </c>
      <c r="C531" s="5" t="s">
        <v>510</v>
      </c>
      <c r="D531" s="10" t="s">
        <v>20</v>
      </c>
      <c r="E531" s="10" t="s">
        <v>80</v>
      </c>
      <c r="F531" s="10" t="s">
        <v>16</v>
      </c>
      <c r="G531" s="15">
        <v>2</v>
      </c>
      <c r="H531" s="11">
        <v>3694.3552</v>
      </c>
      <c r="I531" s="12">
        <v>0</v>
      </c>
      <c r="J531" s="11">
        <v>7388.7103999999999</v>
      </c>
      <c r="K531" s="11">
        <v>1012.5409999999999</v>
      </c>
      <c r="L531" s="10" t="s">
        <v>17</v>
      </c>
      <c r="M531" s="5">
        <f t="shared" si="48"/>
        <v>2025</v>
      </c>
      <c r="N531" s="5">
        <f t="shared" si="49"/>
        <v>8</v>
      </c>
      <c r="O531" s="21">
        <f t="shared" si="50"/>
        <v>45870</v>
      </c>
      <c r="P531" s="13">
        <f t="shared" si="51"/>
        <v>0.1370389344262295</v>
      </c>
      <c r="Q531" s="5">
        <f t="shared" si="52"/>
        <v>202508</v>
      </c>
      <c r="R531" s="21">
        <f t="shared" si="53"/>
        <v>45870</v>
      </c>
    </row>
    <row r="532" spans="1:18" x14ac:dyDescent="0.25">
      <c r="A532" s="5" t="s">
        <v>1025</v>
      </c>
      <c r="B532" s="14">
        <v>45849</v>
      </c>
      <c r="C532" s="5" t="s">
        <v>1026</v>
      </c>
      <c r="D532" s="10" t="s">
        <v>37</v>
      </c>
      <c r="E532" s="10" t="s">
        <v>52</v>
      </c>
      <c r="F532" s="10" t="s">
        <v>39</v>
      </c>
      <c r="G532" s="15">
        <v>1</v>
      </c>
      <c r="H532" s="11">
        <v>1540.5763999999999</v>
      </c>
      <c r="I532" s="12">
        <v>20</v>
      </c>
      <c r="J532" s="11">
        <v>1232.0826</v>
      </c>
      <c r="K532" s="11">
        <v>303.76229999999998</v>
      </c>
      <c r="L532" s="10" t="s">
        <v>23</v>
      </c>
      <c r="M532" s="5">
        <f t="shared" si="48"/>
        <v>2025</v>
      </c>
      <c r="N532" s="5">
        <f t="shared" si="49"/>
        <v>7</v>
      </c>
      <c r="O532" s="21">
        <f t="shared" si="50"/>
        <v>45839</v>
      </c>
      <c r="P532" s="13">
        <f t="shared" si="51"/>
        <v>0.24654377880184331</v>
      </c>
      <c r="Q532" s="5">
        <f t="shared" si="52"/>
        <v>202507</v>
      </c>
      <c r="R532" s="21">
        <f t="shared" si="53"/>
        <v>45839</v>
      </c>
    </row>
    <row r="533" spans="1:18" x14ac:dyDescent="0.25">
      <c r="A533" s="5" t="s">
        <v>1027</v>
      </c>
      <c r="B533" s="14">
        <v>45704</v>
      </c>
      <c r="C533" s="5" t="s">
        <v>1028</v>
      </c>
      <c r="D533" s="10" t="s">
        <v>14</v>
      </c>
      <c r="E533" s="10" t="s">
        <v>83</v>
      </c>
      <c r="F533" s="10" t="s">
        <v>22</v>
      </c>
      <c r="G533" s="15">
        <v>4</v>
      </c>
      <c r="H533" s="11">
        <v>3871.3132999999993</v>
      </c>
      <c r="I533" s="12">
        <v>0</v>
      </c>
      <c r="J533" s="11">
        <v>15485.253199999997</v>
      </c>
      <c r="K533" s="11">
        <v>7448.327299999999</v>
      </c>
      <c r="L533" s="10" t="s">
        <v>23</v>
      </c>
      <c r="M533" s="5">
        <f t="shared" si="48"/>
        <v>2025</v>
      </c>
      <c r="N533" s="5">
        <f t="shared" si="49"/>
        <v>2</v>
      </c>
      <c r="O533" s="21">
        <f t="shared" si="50"/>
        <v>45689</v>
      </c>
      <c r="P533" s="13">
        <f t="shared" si="51"/>
        <v>0.48099486678073822</v>
      </c>
      <c r="Q533" s="5">
        <f t="shared" si="52"/>
        <v>202502</v>
      </c>
      <c r="R533" s="21">
        <f t="shared" si="53"/>
        <v>45689</v>
      </c>
    </row>
    <row r="534" spans="1:18" x14ac:dyDescent="0.25">
      <c r="A534" s="5" t="s">
        <v>1029</v>
      </c>
      <c r="B534" s="14">
        <v>45451</v>
      </c>
      <c r="C534" s="5" t="s">
        <v>1030</v>
      </c>
      <c r="D534" s="10" t="s">
        <v>26</v>
      </c>
      <c r="E534" s="10" t="s">
        <v>55</v>
      </c>
      <c r="F534" s="10" t="s">
        <v>16</v>
      </c>
      <c r="G534" s="15">
        <v>2</v>
      </c>
      <c r="H534" s="11">
        <v>9514.1002000000008</v>
      </c>
      <c r="I534" s="12">
        <v>20</v>
      </c>
      <c r="J534" s="11">
        <v>15222.1818</v>
      </c>
      <c r="K534" s="11">
        <v>2735.7532999999999</v>
      </c>
      <c r="L534" s="10" t="s">
        <v>17</v>
      </c>
      <c r="M534" s="5">
        <f t="shared" si="48"/>
        <v>2024</v>
      </c>
      <c r="N534" s="5">
        <f t="shared" si="49"/>
        <v>6</v>
      </c>
      <c r="O534" s="21">
        <f t="shared" si="50"/>
        <v>45444</v>
      </c>
      <c r="P534" s="13">
        <f t="shared" si="51"/>
        <v>0.17972149695387293</v>
      </c>
      <c r="Q534" s="5">
        <f t="shared" si="52"/>
        <v>202406</v>
      </c>
      <c r="R534" s="21">
        <f t="shared" si="53"/>
        <v>45444</v>
      </c>
    </row>
    <row r="535" spans="1:18" x14ac:dyDescent="0.25">
      <c r="A535" s="5" t="s">
        <v>1031</v>
      </c>
      <c r="B535" s="14">
        <v>45385</v>
      </c>
      <c r="C535" s="5" t="s">
        <v>1032</v>
      </c>
      <c r="D535" s="10" t="s">
        <v>42</v>
      </c>
      <c r="E535" s="10" t="s">
        <v>151</v>
      </c>
      <c r="F535" s="10" t="s">
        <v>39</v>
      </c>
      <c r="G535" s="15">
        <v>1</v>
      </c>
      <c r="H535" s="11">
        <v>2796.3164999999999</v>
      </c>
      <c r="I535" s="12">
        <v>15</v>
      </c>
      <c r="J535" s="11">
        <v>2377.1055999999999</v>
      </c>
      <c r="K535" s="11">
        <v>916.96469999999988</v>
      </c>
      <c r="L535" s="10" t="s">
        <v>17</v>
      </c>
      <c r="M535" s="5">
        <f t="shared" si="48"/>
        <v>2024</v>
      </c>
      <c r="N535" s="5">
        <f t="shared" si="49"/>
        <v>4</v>
      </c>
      <c r="O535" s="21">
        <f t="shared" si="50"/>
        <v>45383</v>
      </c>
      <c r="P535" s="13">
        <f t="shared" si="51"/>
        <v>0.38574840764331209</v>
      </c>
      <c r="Q535" s="5">
        <f t="shared" si="52"/>
        <v>202404</v>
      </c>
      <c r="R535" s="21">
        <f t="shared" si="53"/>
        <v>45383</v>
      </c>
    </row>
    <row r="536" spans="1:18" x14ac:dyDescent="0.25">
      <c r="A536" s="5" t="s">
        <v>1033</v>
      </c>
      <c r="B536" s="14">
        <v>45570</v>
      </c>
      <c r="C536" s="5" t="s">
        <v>1034</v>
      </c>
      <c r="D536" s="10" t="s">
        <v>42</v>
      </c>
      <c r="E536" s="10" t="s">
        <v>94</v>
      </c>
      <c r="F536" s="10" t="s">
        <v>75</v>
      </c>
      <c r="G536" s="15">
        <v>3</v>
      </c>
      <c r="H536" s="11">
        <v>3100.0787999999998</v>
      </c>
      <c r="I536" s="12">
        <v>0</v>
      </c>
      <c r="J536" s="11">
        <v>9300.2363999999998</v>
      </c>
      <c r="K536" s="11">
        <v>1689.1455000000001</v>
      </c>
      <c r="L536" s="10" t="s">
        <v>17</v>
      </c>
      <c r="M536" s="5">
        <f t="shared" si="48"/>
        <v>2024</v>
      </c>
      <c r="N536" s="5">
        <f t="shared" si="49"/>
        <v>10</v>
      </c>
      <c r="O536" s="21">
        <f t="shared" si="50"/>
        <v>45566</v>
      </c>
      <c r="P536" s="13">
        <f t="shared" si="51"/>
        <v>0.18162393162393164</v>
      </c>
      <c r="Q536" s="5">
        <f t="shared" si="52"/>
        <v>202410</v>
      </c>
      <c r="R536" s="21">
        <f t="shared" si="53"/>
        <v>45566</v>
      </c>
    </row>
    <row r="537" spans="1:18" x14ac:dyDescent="0.25">
      <c r="A537" s="5" t="s">
        <v>1035</v>
      </c>
      <c r="B537" s="14">
        <v>45789</v>
      </c>
      <c r="C537" s="5" t="s">
        <v>1036</v>
      </c>
      <c r="D537" s="10" t="s">
        <v>37</v>
      </c>
      <c r="E537" s="10" t="s">
        <v>91</v>
      </c>
      <c r="F537" s="10" t="s">
        <v>49</v>
      </c>
      <c r="G537" s="15">
        <v>2</v>
      </c>
      <c r="H537" s="11">
        <v>2294.7774999999997</v>
      </c>
      <c r="I537" s="12">
        <v>15</v>
      </c>
      <c r="J537" s="11">
        <v>3901.5948999999996</v>
      </c>
      <c r="K537" s="11">
        <v>1567.0727999999999</v>
      </c>
      <c r="L537" s="10" t="s">
        <v>23</v>
      </c>
      <c r="M537" s="5">
        <f t="shared" si="48"/>
        <v>2025</v>
      </c>
      <c r="N537" s="5">
        <f t="shared" si="49"/>
        <v>5</v>
      </c>
      <c r="O537" s="21">
        <f t="shared" si="50"/>
        <v>45778</v>
      </c>
      <c r="P537" s="13">
        <f t="shared" si="51"/>
        <v>0.40164928450157655</v>
      </c>
      <c r="Q537" s="5">
        <f t="shared" si="52"/>
        <v>202505</v>
      </c>
      <c r="R537" s="21">
        <f t="shared" si="53"/>
        <v>45778</v>
      </c>
    </row>
    <row r="538" spans="1:18" x14ac:dyDescent="0.25">
      <c r="A538" s="5" t="s">
        <v>1037</v>
      </c>
      <c r="B538" s="14">
        <v>45409</v>
      </c>
      <c r="C538" s="5" t="s">
        <v>1038</v>
      </c>
      <c r="D538" s="10" t="s">
        <v>42</v>
      </c>
      <c r="E538" s="10" t="s">
        <v>38</v>
      </c>
      <c r="F538" s="10" t="s">
        <v>39</v>
      </c>
      <c r="G538" s="15">
        <v>2</v>
      </c>
      <c r="H538" s="11">
        <v>1702.3936999999999</v>
      </c>
      <c r="I538" s="12">
        <v>10</v>
      </c>
      <c r="J538" s="11">
        <v>3064.1194</v>
      </c>
      <c r="K538" s="11">
        <v>1211.2639999999999</v>
      </c>
      <c r="L538" s="10" t="s">
        <v>23</v>
      </c>
      <c r="M538" s="5">
        <f t="shared" si="48"/>
        <v>2024</v>
      </c>
      <c r="N538" s="5">
        <f t="shared" si="49"/>
        <v>4</v>
      </c>
      <c r="O538" s="21">
        <f t="shared" si="50"/>
        <v>45383</v>
      </c>
      <c r="P538" s="13">
        <f t="shared" si="51"/>
        <v>0.39530574428659665</v>
      </c>
      <c r="Q538" s="5">
        <f t="shared" si="52"/>
        <v>202404</v>
      </c>
      <c r="R538" s="21">
        <f t="shared" si="53"/>
        <v>45383</v>
      </c>
    </row>
    <row r="539" spans="1:18" x14ac:dyDescent="0.25">
      <c r="A539" s="5" t="s">
        <v>1039</v>
      </c>
      <c r="B539" s="14">
        <v>45648</v>
      </c>
      <c r="C539" s="5" t="s">
        <v>990</v>
      </c>
      <c r="D539" s="10" t="s">
        <v>20</v>
      </c>
      <c r="E539" s="10" t="s">
        <v>30</v>
      </c>
      <c r="F539" s="10" t="s">
        <v>16</v>
      </c>
      <c r="G539" s="15">
        <v>3</v>
      </c>
      <c r="H539" s="11">
        <v>5226.4148999999998</v>
      </c>
      <c r="I539" s="12">
        <v>15</v>
      </c>
      <c r="J539" s="11">
        <v>13327.689199999999</v>
      </c>
      <c r="K539" s="11">
        <v>1579.3747000000001</v>
      </c>
      <c r="L539" s="10" t="s">
        <v>17</v>
      </c>
      <c r="M539" s="5">
        <f t="shared" si="48"/>
        <v>2024</v>
      </c>
      <c r="N539" s="5">
        <f t="shared" si="49"/>
        <v>12</v>
      </c>
      <c r="O539" s="21">
        <f t="shared" si="50"/>
        <v>45627</v>
      </c>
      <c r="P539" s="13">
        <f t="shared" si="51"/>
        <v>0.11850326611758025</v>
      </c>
      <c r="Q539" s="5">
        <f t="shared" si="52"/>
        <v>202412</v>
      </c>
      <c r="R539" s="21">
        <f t="shared" si="53"/>
        <v>45627</v>
      </c>
    </row>
    <row r="540" spans="1:18" x14ac:dyDescent="0.25">
      <c r="A540" s="5" t="s">
        <v>1040</v>
      </c>
      <c r="B540" s="14">
        <v>45294</v>
      </c>
      <c r="C540" s="5" t="s">
        <v>1041</v>
      </c>
      <c r="D540" s="10" t="s">
        <v>14</v>
      </c>
      <c r="E540" s="10" t="s">
        <v>111</v>
      </c>
      <c r="F540" s="10" t="s">
        <v>49</v>
      </c>
      <c r="G540" s="15">
        <v>1</v>
      </c>
      <c r="H540" s="11">
        <v>4355.8189000000002</v>
      </c>
      <c r="I540" s="12">
        <v>10</v>
      </c>
      <c r="J540" s="11">
        <v>3920.5209</v>
      </c>
      <c r="K540" s="11">
        <v>2005.2097000000001</v>
      </c>
      <c r="L540" s="10" t="s">
        <v>17</v>
      </c>
      <c r="M540" s="5">
        <f t="shared" si="48"/>
        <v>2024</v>
      </c>
      <c r="N540" s="5">
        <f t="shared" si="49"/>
        <v>1</v>
      </c>
      <c r="O540" s="21">
        <f t="shared" si="50"/>
        <v>45292</v>
      </c>
      <c r="P540" s="13">
        <f t="shared" si="51"/>
        <v>0.51146512189234861</v>
      </c>
      <c r="Q540" s="5">
        <f t="shared" si="52"/>
        <v>202401</v>
      </c>
      <c r="R540" s="21">
        <f t="shared" si="53"/>
        <v>45292</v>
      </c>
    </row>
    <row r="541" spans="1:18" x14ac:dyDescent="0.25">
      <c r="A541" s="5" t="s">
        <v>1042</v>
      </c>
      <c r="B541" s="14">
        <v>46012</v>
      </c>
      <c r="C541" s="5" t="s">
        <v>1043</v>
      </c>
      <c r="D541" s="10" t="s">
        <v>14</v>
      </c>
      <c r="E541" s="10" t="s">
        <v>58</v>
      </c>
      <c r="F541" s="10" t="s">
        <v>49</v>
      </c>
      <c r="G541" s="15">
        <v>4</v>
      </c>
      <c r="H541" s="11">
        <v>5068.3828000000003</v>
      </c>
      <c r="I541" s="12">
        <v>0</v>
      </c>
      <c r="J541" s="11">
        <v>20273.531200000001</v>
      </c>
      <c r="K541" s="11">
        <v>6277.7542000000003</v>
      </c>
      <c r="L541" s="10" t="s">
        <v>17</v>
      </c>
      <c r="M541" s="5">
        <f t="shared" si="48"/>
        <v>2025</v>
      </c>
      <c r="N541" s="5">
        <f t="shared" si="49"/>
        <v>12</v>
      </c>
      <c r="O541" s="21">
        <f t="shared" si="50"/>
        <v>45992</v>
      </c>
      <c r="P541" s="13">
        <f t="shared" si="51"/>
        <v>0.30965272591486181</v>
      </c>
      <c r="Q541" s="5">
        <f t="shared" si="52"/>
        <v>202512</v>
      </c>
      <c r="R541" s="21">
        <f t="shared" si="53"/>
        <v>45992</v>
      </c>
    </row>
    <row r="542" spans="1:18" x14ac:dyDescent="0.25">
      <c r="A542" s="5" t="s">
        <v>1044</v>
      </c>
      <c r="B542" s="14">
        <v>45754</v>
      </c>
      <c r="C542" s="5" t="s">
        <v>1045</v>
      </c>
      <c r="D542" s="10" t="s">
        <v>42</v>
      </c>
      <c r="E542" s="10" t="s">
        <v>151</v>
      </c>
      <c r="F542" s="10" t="s">
        <v>39</v>
      </c>
      <c r="G542" s="15">
        <v>3</v>
      </c>
      <c r="H542" s="11">
        <v>6374.2767999999996</v>
      </c>
      <c r="I542" s="12">
        <v>0</v>
      </c>
      <c r="J542" s="11">
        <v>19122.830399999999</v>
      </c>
      <c r="K542" s="11">
        <v>7625.2853999999998</v>
      </c>
      <c r="L542" s="10" t="s">
        <v>17</v>
      </c>
      <c r="M542" s="5">
        <f t="shared" si="48"/>
        <v>2025</v>
      </c>
      <c r="N542" s="5">
        <f t="shared" si="49"/>
        <v>4</v>
      </c>
      <c r="O542" s="21">
        <f t="shared" si="50"/>
        <v>45748</v>
      </c>
      <c r="P542" s="13">
        <f t="shared" si="51"/>
        <v>0.39875296912114017</v>
      </c>
      <c r="Q542" s="5">
        <f t="shared" si="52"/>
        <v>202504</v>
      </c>
      <c r="R542" s="21">
        <f t="shared" si="53"/>
        <v>45748</v>
      </c>
    </row>
    <row r="543" spans="1:18" x14ac:dyDescent="0.25">
      <c r="A543" s="5" t="s">
        <v>1046</v>
      </c>
      <c r="B543" s="14">
        <v>45626</v>
      </c>
      <c r="C543" s="5" t="s">
        <v>1047</v>
      </c>
      <c r="D543" s="10" t="s">
        <v>26</v>
      </c>
      <c r="E543" s="10" t="s">
        <v>556</v>
      </c>
      <c r="F543" s="10" t="s">
        <v>49</v>
      </c>
      <c r="G543" s="15">
        <v>1</v>
      </c>
      <c r="H543" s="11">
        <v>7761.5525999999991</v>
      </c>
      <c r="I543" s="12">
        <v>10</v>
      </c>
      <c r="J543" s="11">
        <v>6985.5865999999987</v>
      </c>
      <c r="K543" s="11">
        <v>3321.5129999999999</v>
      </c>
      <c r="L543" s="10" t="s">
        <v>23</v>
      </c>
      <c r="M543" s="5">
        <f t="shared" si="48"/>
        <v>2024</v>
      </c>
      <c r="N543" s="5">
        <f t="shared" si="49"/>
        <v>11</v>
      </c>
      <c r="O543" s="21">
        <f t="shared" si="50"/>
        <v>45597</v>
      </c>
      <c r="P543" s="13">
        <f t="shared" si="51"/>
        <v>0.47548089948523442</v>
      </c>
      <c r="Q543" s="5">
        <f t="shared" si="52"/>
        <v>202411</v>
      </c>
      <c r="R543" s="21">
        <f t="shared" si="53"/>
        <v>45597</v>
      </c>
    </row>
    <row r="544" spans="1:18" x14ac:dyDescent="0.25">
      <c r="A544" s="5" t="s">
        <v>1048</v>
      </c>
      <c r="B544" s="14">
        <v>45302</v>
      </c>
      <c r="C544" s="5" t="s">
        <v>239</v>
      </c>
      <c r="D544" s="10" t="s">
        <v>42</v>
      </c>
      <c r="E544" s="10" t="s">
        <v>118</v>
      </c>
      <c r="F544" s="10" t="s">
        <v>49</v>
      </c>
      <c r="G544" s="15">
        <v>5</v>
      </c>
      <c r="H544" s="11">
        <v>2519.9968999999996</v>
      </c>
      <c r="I544" s="12">
        <v>15</v>
      </c>
      <c r="J544" s="11">
        <v>10710.223400000001</v>
      </c>
      <c r="K544" s="11">
        <v>4475.9989999999998</v>
      </c>
      <c r="L544" s="10" t="s">
        <v>17</v>
      </c>
      <c r="M544" s="5">
        <f t="shared" si="48"/>
        <v>2024</v>
      </c>
      <c r="N544" s="5">
        <f t="shared" si="49"/>
        <v>1</v>
      </c>
      <c r="O544" s="21">
        <f t="shared" si="50"/>
        <v>45292</v>
      </c>
      <c r="P544" s="13">
        <f t="shared" si="51"/>
        <v>0.41791836013429928</v>
      </c>
      <c r="Q544" s="5">
        <f t="shared" si="52"/>
        <v>202401</v>
      </c>
      <c r="R544" s="21">
        <f t="shared" si="53"/>
        <v>45292</v>
      </c>
    </row>
    <row r="545" spans="1:18" x14ac:dyDescent="0.25">
      <c r="A545" s="5" t="s">
        <v>1049</v>
      </c>
      <c r="B545" s="14">
        <v>45594</v>
      </c>
      <c r="C545" s="5" t="s">
        <v>1050</v>
      </c>
      <c r="D545" s="10" t="s">
        <v>26</v>
      </c>
      <c r="E545" s="10" t="s">
        <v>69</v>
      </c>
      <c r="F545" s="10" t="s">
        <v>39</v>
      </c>
      <c r="G545" s="15">
        <v>1</v>
      </c>
      <c r="H545" s="11">
        <v>3343.2778999999996</v>
      </c>
      <c r="I545" s="12">
        <v>0</v>
      </c>
      <c r="J545" s="11">
        <v>3343.2778999999996</v>
      </c>
      <c r="K545" s="11">
        <v>850.72370000000001</v>
      </c>
      <c r="L545" s="10" t="s">
        <v>17</v>
      </c>
      <c r="M545" s="5">
        <f t="shared" si="48"/>
        <v>2024</v>
      </c>
      <c r="N545" s="5">
        <f t="shared" si="49"/>
        <v>10</v>
      </c>
      <c r="O545" s="21">
        <f t="shared" si="50"/>
        <v>45566</v>
      </c>
      <c r="P545" s="13">
        <f t="shared" si="51"/>
        <v>0.25445796773280499</v>
      </c>
      <c r="Q545" s="5">
        <f t="shared" si="52"/>
        <v>202410</v>
      </c>
      <c r="R545" s="21">
        <f t="shared" si="53"/>
        <v>45566</v>
      </c>
    </row>
    <row r="546" spans="1:18" x14ac:dyDescent="0.25">
      <c r="A546" s="5" t="s">
        <v>1051</v>
      </c>
      <c r="B546" s="14">
        <v>45293</v>
      </c>
      <c r="C546" s="5" t="s">
        <v>575</v>
      </c>
      <c r="D546" s="10" t="s">
        <v>26</v>
      </c>
      <c r="E546" s="10" t="s">
        <v>151</v>
      </c>
      <c r="F546" s="10" t="s">
        <v>39</v>
      </c>
      <c r="G546" s="15">
        <v>4</v>
      </c>
      <c r="H546" s="11">
        <v>1785.6681000000001</v>
      </c>
      <c r="I546" s="12">
        <v>0</v>
      </c>
      <c r="J546" s="11">
        <v>7142.6724000000004</v>
      </c>
      <c r="K546" s="11">
        <v>1439.3223</v>
      </c>
      <c r="L546" s="10" t="s">
        <v>17</v>
      </c>
      <c r="M546" s="5">
        <f t="shared" si="48"/>
        <v>2024</v>
      </c>
      <c r="N546" s="5">
        <f t="shared" si="49"/>
        <v>1</v>
      </c>
      <c r="O546" s="21">
        <f t="shared" si="50"/>
        <v>45292</v>
      </c>
      <c r="P546" s="13">
        <f t="shared" si="51"/>
        <v>0.20151033386327505</v>
      </c>
      <c r="Q546" s="5">
        <f t="shared" si="52"/>
        <v>202401</v>
      </c>
      <c r="R546" s="21">
        <f t="shared" si="53"/>
        <v>45292</v>
      </c>
    </row>
    <row r="547" spans="1:18" x14ac:dyDescent="0.25">
      <c r="A547" s="5" t="s">
        <v>1052</v>
      </c>
      <c r="B547" s="14">
        <v>45725</v>
      </c>
      <c r="C547" s="5" t="s">
        <v>113</v>
      </c>
      <c r="D547" s="10" t="s">
        <v>42</v>
      </c>
      <c r="E547" s="10" t="s">
        <v>286</v>
      </c>
      <c r="F547" s="10" t="s">
        <v>39</v>
      </c>
      <c r="G547" s="15">
        <v>1</v>
      </c>
      <c r="H547" s="11">
        <v>1148.8081999999999</v>
      </c>
      <c r="I547" s="12">
        <v>15</v>
      </c>
      <c r="J547" s="11">
        <v>976.58159999999998</v>
      </c>
      <c r="K547" s="11">
        <v>314.17159999999996</v>
      </c>
      <c r="L547" s="10" t="s">
        <v>23</v>
      </c>
      <c r="M547" s="5">
        <f t="shared" si="48"/>
        <v>2025</v>
      </c>
      <c r="N547" s="5">
        <f t="shared" si="49"/>
        <v>3</v>
      </c>
      <c r="O547" s="21">
        <f t="shared" si="50"/>
        <v>45717</v>
      </c>
      <c r="P547" s="13">
        <f t="shared" si="51"/>
        <v>0.32170542635658911</v>
      </c>
      <c r="Q547" s="5">
        <f t="shared" si="52"/>
        <v>202503</v>
      </c>
      <c r="R547" s="21">
        <f t="shared" si="53"/>
        <v>45717</v>
      </c>
    </row>
    <row r="548" spans="1:18" x14ac:dyDescent="0.25">
      <c r="A548" s="5" t="s">
        <v>1053</v>
      </c>
      <c r="B548" s="14">
        <v>46004</v>
      </c>
      <c r="C548" s="5" t="s">
        <v>162</v>
      </c>
      <c r="D548" s="10" t="s">
        <v>26</v>
      </c>
      <c r="E548" s="10" t="s">
        <v>151</v>
      </c>
      <c r="F548" s="10" t="s">
        <v>39</v>
      </c>
      <c r="G548" s="15">
        <v>3</v>
      </c>
      <c r="H548" s="11">
        <v>7140.7797999999993</v>
      </c>
      <c r="I548" s="12">
        <v>20</v>
      </c>
      <c r="J548" s="11">
        <v>17137.492999999999</v>
      </c>
      <c r="K548" s="11">
        <v>6033.6088</v>
      </c>
      <c r="L548" s="10" t="s">
        <v>23</v>
      </c>
      <c r="M548" s="5">
        <f t="shared" si="48"/>
        <v>2025</v>
      </c>
      <c r="N548" s="5">
        <f t="shared" si="49"/>
        <v>12</v>
      </c>
      <c r="O548" s="21">
        <f t="shared" si="50"/>
        <v>45992</v>
      </c>
      <c r="P548" s="13">
        <f t="shared" si="51"/>
        <v>0.35207067918277196</v>
      </c>
      <c r="Q548" s="5">
        <f t="shared" si="52"/>
        <v>202512</v>
      </c>
      <c r="R548" s="21">
        <f t="shared" si="53"/>
        <v>45992</v>
      </c>
    </row>
    <row r="549" spans="1:18" x14ac:dyDescent="0.25">
      <c r="A549" s="5" t="s">
        <v>1054</v>
      </c>
      <c r="B549" s="14">
        <v>45639</v>
      </c>
      <c r="C549" s="5" t="s">
        <v>1055</v>
      </c>
      <c r="D549" s="10" t="s">
        <v>42</v>
      </c>
      <c r="E549" s="10" t="s">
        <v>154</v>
      </c>
      <c r="F549" s="10" t="s">
        <v>39</v>
      </c>
      <c r="G549" s="15">
        <v>1</v>
      </c>
      <c r="H549" s="11">
        <v>6026.9846999999991</v>
      </c>
      <c r="I549" s="12">
        <v>20</v>
      </c>
      <c r="J549" s="11">
        <v>4821.3985000000002</v>
      </c>
      <c r="K549" s="11">
        <v>1312.5180999999998</v>
      </c>
      <c r="L549" s="10" t="s">
        <v>17</v>
      </c>
      <c r="M549" s="5">
        <f t="shared" si="48"/>
        <v>2024</v>
      </c>
      <c r="N549" s="5">
        <f t="shared" si="49"/>
        <v>12</v>
      </c>
      <c r="O549" s="21">
        <f t="shared" si="50"/>
        <v>45627</v>
      </c>
      <c r="P549" s="13">
        <f t="shared" si="51"/>
        <v>0.27222767419038268</v>
      </c>
      <c r="Q549" s="5">
        <f t="shared" si="52"/>
        <v>202412</v>
      </c>
      <c r="R549" s="21">
        <f t="shared" si="53"/>
        <v>45627</v>
      </c>
    </row>
    <row r="550" spans="1:18" x14ac:dyDescent="0.25">
      <c r="A550" s="5" t="s">
        <v>1056</v>
      </c>
      <c r="B550" s="14">
        <v>45941</v>
      </c>
      <c r="C550" s="5" t="s">
        <v>281</v>
      </c>
      <c r="D550" s="10" t="s">
        <v>26</v>
      </c>
      <c r="E550" s="10" t="s">
        <v>61</v>
      </c>
      <c r="F550" s="10" t="s">
        <v>39</v>
      </c>
      <c r="G550" s="15">
        <v>1</v>
      </c>
      <c r="H550" s="11">
        <v>963.33339999999998</v>
      </c>
      <c r="I550" s="12">
        <v>0</v>
      </c>
      <c r="J550" s="11">
        <v>963.33339999999998</v>
      </c>
      <c r="K550" s="11">
        <v>219.54159999999999</v>
      </c>
      <c r="L550" s="10" t="s">
        <v>17</v>
      </c>
      <c r="M550" s="5">
        <f t="shared" si="48"/>
        <v>2025</v>
      </c>
      <c r="N550" s="5">
        <f t="shared" si="49"/>
        <v>10</v>
      </c>
      <c r="O550" s="21">
        <f t="shared" si="50"/>
        <v>45931</v>
      </c>
      <c r="P550" s="13">
        <f t="shared" si="51"/>
        <v>0.22789783889980353</v>
      </c>
      <c r="Q550" s="5">
        <f t="shared" si="52"/>
        <v>202510</v>
      </c>
      <c r="R550" s="21">
        <f t="shared" si="53"/>
        <v>45931</v>
      </c>
    </row>
    <row r="551" spans="1:18" x14ac:dyDescent="0.25">
      <c r="A551" s="5" t="s">
        <v>1057</v>
      </c>
      <c r="B551" s="14">
        <v>45892</v>
      </c>
      <c r="C551" s="5" t="s">
        <v>1058</v>
      </c>
      <c r="D551" s="10" t="s">
        <v>26</v>
      </c>
      <c r="E551" s="10" t="s">
        <v>208</v>
      </c>
      <c r="F551" s="10" t="s">
        <v>22</v>
      </c>
      <c r="G551" s="15">
        <v>1</v>
      </c>
      <c r="H551" s="11">
        <v>3307.3185000000003</v>
      </c>
      <c r="I551" s="12">
        <v>5</v>
      </c>
      <c r="J551" s="11">
        <v>3141.7159999999999</v>
      </c>
      <c r="K551" s="11">
        <v>1402.4166</v>
      </c>
      <c r="L551" s="10" t="s">
        <v>23</v>
      </c>
      <c r="M551" s="5">
        <f t="shared" si="48"/>
        <v>2025</v>
      </c>
      <c r="N551" s="5">
        <f t="shared" si="49"/>
        <v>8</v>
      </c>
      <c r="O551" s="21">
        <f t="shared" si="50"/>
        <v>45870</v>
      </c>
      <c r="P551" s="13">
        <f t="shared" si="51"/>
        <v>0.44638554216867471</v>
      </c>
      <c r="Q551" s="5">
        <f t="shared" si="52"/>
        <v>202508</v>
      </c>
      <c r="R551" s="21">
        <f t="shared" si="53"/>
        <v>45870</v>
      </c>
    </row>
    <row r="552" spans="1:18" x14ac:dyDescent="0.25">
      <c r="A552" s="5" t="s">
        <v>1059</v>
      </c>
      <c r="B552" s="14">
        <v>45998</v>
      </c>
      <c r="C552" s="5" t="s">
        <v>1060</v>
      </c>
      <c r="D552" s="10" t="s">
        <v>37</v>
      </c>
      <c r="E552" s="10" t="s">
        <v>74</v>
      </c>
      <c r="F552" s="10" t="s">
        <v>75</v>
      </c>
      <c r="G552" s="15">
        <v>4</v>
      </c>
      <c r="H552" s="11">
        <v>4868.7134999999998</v>
      </c>
      <c r="I552" s="12">
        <v>0</v>
      </c>
      <c r="J552" s="11">
        <v>19474.853999999999</v>
      </c>
      <c r="K552" s="11">
        <v>4198.7330999999995</v>
      </c>
      <c r="L552" s="10" t="s">
        <v>23</v>
      </c>
      <c r="M552" s="5">
        <f t="shared" si="48"/>
        <v>2025</v>
      </c>
      <c r="N552" s="5">
        <f t="shared" si="49"/>
        <v>12</v>
      </c>
      <c r="O552" s="21">
        <f t="shared" si="50"/>
        <v>45992</v>
      </c>
      <c r="P552" s="13">
        <f t="shared" si="51"/>
        <v>0.21559766763848395</v>
      </c>
      <c r="Q552" s="5">
        <f t="shared" si="52"/>
        <v>202512</v>
      </c>
      <c r="R552" s="21">
        <f t="shared" si="53"/>
        <v>45992</v>
      </c>
    </row>
    <row r="553" spans="1:18" x14ac:dyDescent="0.25">
      <c r="A553" s="5" t="s">
        <v>1061</v>
      </c>
      <c r="B553" s="14">
        <v>45878</v>
      </c>
      <c r="C553" s="5" t="s">
        <v>1062</v>
      </c>
      <c r="D553" s="10" t="s">
        <v>14</v>
      </c>
      <c r="E553" s="10" t="s">
        <v>30</v>
      </c>
      <c r="F553" s="10" t="s">
        <v>16</v>
      </c>
      <c r="G553" s="15">
        <v>2</v>
      </c>
      <c r="H553" s="11">
        <v>8227.1322</v>
      </c>
      <c r="I553" s="12">
        <v>5</v>
      </c>
      <c r="J553" s="11">
        <v>15631.929699999999</v>
      </c>
      <c r="K553" s="11">
        <v>2987.4690999999998</v>
      </c>
      <c r="L553" s="10" t="s">
        <v>34</v>
      </c>
      <c r="M553" s="5">
        <f t="shared" si="48"/>
        <v>2025</v>
      </c>
      <c r="N553" s="5">
        <f t="shared" si="49"/>
        <v>8</v>
      </c>
      <c r="O553" s="21">
        <f t="shared" si="50"/>
        <v>45870</v>
      </c>
      <c r="P553" s="13">
        <f t="shared" si="51"/>
        <v>0.19111326351474062</v>
      </c>
      <c r="Q553" s="5">
        <f t="shared" si="52"/>
        <v>202508</v>
      </c>
      <c r="R553" s="21">
        <f t="shared" si="53"/>
        <v>45870</v>
      </c>
    </row>
    <row r="554" spans="1:18" x14ac:dyDescent="0.25">
      <c r="A554" s="5" t="s">
        <v>1063</v>
      </c>
      <c r="B554" s="14">
        <v>45322</v>
      </c>
      <c r="C554" s="5" t="s">
        <v>1064</v>
      </c>
      <c r="D554" s="10" t="s">
        <v>14</v>
      </c>
      <c r="E554" s="10" t="s">
        <v>74</v>
      </c>
      <c r="F554" s="10" t="s">
        <v>75</v>
      </c>
      <c r="G554" s="15">
        <v>2</v>
      </c>
      <c r="H554" s="11">
        <v>1409.0407</v>
      </c>
      <c r="I554" s="12">
        <v>10</v>
      </c>
      <c r="J554" s="11">
        <v>2536.0839999999998</v>
      </c>
      <c r="K554" s="11">
        <v>738.11399999999992</v>
      </c>
      <c r="L554" s="10" t="s">
        <v>17</v>
      </c>
      <c r="M554" s="5">
        <f t="shared" si="48"/>
        <v>2024</v>
      </c>
      <c r="N554" s="5">
        <f t="shared" si="49"/>
        <v>1</v>
      </c>
      <c r="O554" s="21">
        <f t="shared" si="50"/>
        <v>45292</v>
      </c>
      <c r="P554" s="13">
        <f t="shared" si="51"/>
        <v>0.29104477611940299</v>
      </c>
      <c r="Q554" s="5">
        <f t="shared" si="52"/>
        <v>202401</v>
      </c>
      <c r="R554" s="21">
        <f t="shared" si="53"/>
        <v>45292</v>
      </c>
    </row>
    <row r="555" spans="1:18" x14ac:dyDescent="0.25">
      <c r="A555" s="5" t="s">
        <v>1065</v>
      </c>
      <c r="B555" s="14">
        <v>45951</v>
      </c>
      <c r="C555" s="5" t="s">
        <v>124</v>
      </c>
      <c r="D555" s="10" t="s">
        <v>37</v>
      </c>
      <c r="E555" s="10" t="s">
        <v>222</v>
      </c>
      <c r="F555" s="10" t="s">
        <v>22</v>
      </c>
      <c r="G555" s="15">
        <v>2</v>
      </c>
      <c r="H555" s="11">
        <v>4648.2255999999998</v>
      </c>
      <c r="I555" s="12">
        <v>5</v>
      </c>
      <c r="J555" s="11">
        <v>8831.8179</v>
      </c>
      <c r="K555" s="11">
        <v>5273.7298999999994</v>
      </c>
      <c r="L555" s="10" t="s">
        <v>23</v>
      </c>
      <c r="M555" s="5">
        <f t="shared" si="48"/>
        <v>2025</v>
      </c>
      <c r="N555" s="5">
        <f t="shared" si="49"/>
        <v>10</v>
      </c>
      <c r="O555" s="21">
        <f t="shared" si="50"/>
        <v>45931</v>
      </c>
      <c r="P555" s="13">
        <f t="shared" si="51"/>
        <v>0.59712846887388826</v>
      </c>
      <c r="Q555" s="5">
        <f t="shared" si="52"/>
        <v>202510</v>
      </c>
      <c r="R555" s="21">
        <f t="shared" si="53"/>
        <v>45931</v>
      </c>
    </row>
    <row r="556" spans="1:18" x14ac:dyDescent="0.25">
      <c r="A556" s="5" t="s">
        <v>1066</v>
      </c>
      <c r="B556" s="14">
        <v>45805</v>
      </c>
      <c r="C556" s="5" t="s">
        <v>308</v>
      </c>
      <c r="D556" s="10" t="s">
        <v>26</v>
      </c>
      <c r="E556" s="10" t="s">
        <v>208</v>
      </c>
      <c r="F556" s="10" t="s">
        <v>22</v>
      </c>
      <c r="G556" s="15">
        <v>1</v>
      </c>
      <c r="H556" s="11">
        <v>3486.1692000000003</v>
      </c>
      <c r="I556" s="12">
        <v>0</v>
      </c>
      <c r="J556" s="11">
        <v>3486.1692000000003</v>
      </c>
      <c r="K556" s="11">
        <v>2211.5030999999999</v>
      </c>
      <c r="L556" s="10" t="s">
        <v>23</v>
      </c>
      <c r="M556" s="5">
        <f t="shared" si="48"/>
        <v>2025</v>
      </c>
      <c r="N556" s="5">
        <f t="shared" si="49"/>
        <v>5</v>
      </c>
      <c r="O556" s="21">
        <f t="shared" si="50"/>
        <v>45778</v>
      </c>
      <c r="P556" s="13">
        <f t="shared" si="51"/>
        <v>0.63436482084690549</v>
      </c>
      <c r="Q556" s="5">
        <f t="shared" si="52"/>
        <v>202505</v>
      </c>
      <c r="R556" s="21">
        <f t="shared" si="53"/>
        <v>45778</v>
      </c>
    </row>
    <row r="557" spans="1:18" x14ac:dyDescent="0.25">
      <c r="A557" s="5" t="s">
        <v>1067</v>
      </c>
      <c r="B557" s="14">
        <v>45351</v>
      </c>
      <c r="C557" s="5" t="s">
        <v>1068</v>
      </c>
      <c r="D557" s="10" t="s">
        <v>20</v>
      </c>
      <c r="E557" s="10" t="s">
        <v>246</v>
      </c>
      <c r="F557" s="10" t="s">
        <v>75</v>
      </c>
      <c r="G557" s="15">
        <v>3</v>
      </c>
      <c r="H557" s="11">
        <v>1470.5501999999999</v>
      </c>
      <c r="I557" s="12">
        <v>0</v>
      </c>
      <c r="J557" s="11">
        <v>4411.6505999999999</v>
      </c>
      <c r="K557" s="11">
        <v>1127.0433</v>
      </c>
      <c r="L557" s="10" t="s">
        <v>17</v>
      </c>
      <c r="M557" s="5">
        <f t="shared" si="48"/>
        <v>2024</v>
      </c>
      <c r="N557" s="5">
        <f t="shared" si="49"/>
        <v>2</v>
      </c>
      <c r="O557" s="21">
        <f t="shared" si="50"/>
        <v>45323</v>
      </c>
      <c r="P557" s="13">
        <f t="shared" si="51"/>
        <v>0.25546975546975548</v>
      </c>
      <c r="Q557" s="5">
        <f t="shared" si="52"/>
        <v>202402</v>
      </c>
      <c r="R557" s="21">
        <f t="shared" si="53"/>
        <v>45323</v>
      </c>
    </row>
    <row r="558" spans="1:18" x14ac:dyDescent="0.25">
      <c r="A558" s="5" t="s">
        <v>1069</v>
      </c>
      <c r="B558" s="14">
        <v>45964</v>
      </c>
      <c r="C558" s="5" t="s">
        <v>66</v>
      </c>
      <c r="D558" s="10" t="s">
        <v>37</v>
      </c>
      <c r="E558" s="10" t="s">
        <v>208</v>
      </c>
      <c r="F558" s="10" t="s">
        <v>22</v>
      </c>
      <c r="G558" s="15">
        <v>1</v>
      </c>
      <c r="H558" s="11">
        <v>712.56389999999999</v>
      </c>
      <c r="I558" s="12">
        <v>10</v>
      </c>
      <c r="J558" s="11">
        <v>641.59140000000002</v>
      </c>
      <c r="K558" s="11">
        <v>391.76819999999998</v>
      </c>
      <c r="L558" s="10" t="s">
        <v>17</v>
      </c>
      <c r="M558" s="5">
        <f t="shared" si="48"/>
        <v>2025</v>
      </c>
      <c r="N558" s="5">
        <f t="shared" si="49"/>
        <v>11</v>
      </c>
      <c r="O558" s="21">
        <f t="shared" si="50"/>
        <v>45962</v>
      </c>
      <c r="P558" s="13">
        <f t="shared" si="51"/>
        <v>0.61061946902654862</v>
      </c>
      <c r="Q558" s="5">
        <f t="shared" si="52"/>
        <v>202511</v>
      </c>
      <c r="R558" s="21">
        <f t="shared" si="53"/>
        <v>45962</v>
      </c>
    </row>
    <row r="559" spans="1:18" x14ac:dyDescent="0.25">
      <c r="A559" s="5" t="s">
        <v>1070</v>
      </c>
      <c r="B559" s="14">
        <v>45939</v>
      </c>
      <c r="C559" s="5" t="s">
        <v>941</v>
      </c>
      <c r="D559" s="10" t="s">
        <v>14</v>
      </c>
      <c r="E559" s="10" t="s">
        <v>187</v>
      </c>
      <c r="F559" s="10" t="s">
        <v>75</v>
      </c>
      <c r="G559" s="15">
        <v>2</v>
      </c>
      <c r="H559" s="11">
        <v>2163.2417999999998</v>
      </c>
      <c r="I559" s="12">
        <v>10</v>
      </c>
      <c r="J559" s="11">
        <v>3894.0244999999995</v>
      </c>
      <c r="K559" s="11">
        <v>1111.9024999999999</v>
      </c>
      <c r="L559" s="10" t="s">
        <v>34</v>
      </c>
      <c r="M559" s="5">
        <f t="shared" si="48"/>
        <v>2025</v>
      </c>
      <c r="N559" s="5">
        <f t="shared" si="49"/>
        <v>10</v>
      </c>
      <c r="O559" s="21">
        <f t="shared" si="50"/>
        <v>45931</v>
      </c>
      <c r="P559" s="13">
        <f t="shared" si="51"/>
        <v>0.28554070473876064</v>
      </c>
      <c r="Q559" s="5">
        <f t="shared" si="52"/>
        <v>202510</v>
      </c>
      <c r="R559" s="21">
        <f t="shared" si="53"/>
        <v>45931</v>
      </c>
    </row>
    <row r="560" spans="1:18" x14ac:dyDescent="0.25">
      <c r="A560" s="5" t="s">
        <v>1071</v>
      </c>
      <c r="B560" s="14">
        <v>45782</v>
      </c>
      <c r="C560" s="5" t="s">
        <v>1072</v>
      </c>
      <c r="D560" s="10" t="s">
        <v>42</v>
      </c>
      <c r="E560" s="10" t="s">
        <v>111</v>
      </c>
      <c r="F560" s="10" t="s">
        <v>49</v>
      </c>
      <c r="G560" s="15">
        <v>2</v>
      </c>
      <c r="H560" s="11">
        <v>6414.9677000000001</v>
      </c>
      <c r="I560" s="12">
        <v>5</v>
      </c>
      <c r="J560" s="11">
        <v>12188.344000000001</v>
      </c>
      <c r="K560" s="11">
        <v>6482.1549999999997</v>
      </c>
      <c r="L560" s="10" t="s">
        <v>23</v>
      </c>
      <c r="M560" s="5">
        <f t="shared" si="48"/>
        <v>2025</v>
      </c>
      <c r="N560" s="5">
        <f t="shared" si="49"/>
        <v>5</v>
      </c>
      <c r="O560" s="21">
        <f t="shared" si="50"/>
        <v>45778</v>
      </c>
      <c r="P560" s="13">
        <f t="shared" si="51"/>
        <v>0.5318322981366459</v>
      </c>
      <c r="Q560" s="5">
        <f t="shared" si="52"/>
        <v>202505</v>
      </c>
      <c r="R560" s="21">
        <f t="shared" si="53"/>
        <v>45778</v>
      </c>
    </row>
    <row r="561" spans="1:18" x14ac:dyDescent="0.25">
      <c r="A561" s="5" t="s">
        <v>1073</v>
      </c>
      <c r="B561" s="14">
        <v>45976</v>
      </c>
      <c r="C561" s="5" t="s">
        <v>1074</v>
      </c>
      <c r="D561" s="10" t="s">
        <v>20</v>
      </c>
      <c r="E561" s="10" t="s">
        <v>94</v>
      </c>
      <c r="F561" s="10" t="s">
        <v>75</v>
      </c>
      <c r="G561" s="15">
        <v>1</v>
      </c>
      <c r="H561" s="11">
        <v>4322.6984000000002</v>
      </c>
      <c r="I561" s="12">
        <v>0</v>
      </c>
      <c r="J561" s="11">
        <v>4322.6984000000002</v>
      </c>
      <c r="K561" s="11">
        <v>863.97190000000001</v>
      </c>
      <c r="L561" s="10" t="s">
        <v>17</v>
      </c>
      <c r="M561" s="5">
        <f t="shared" si="48"/>
        <v>2025</v>
      </c>
      <c r="N561" s="5">
        <f t="shared" si="49"/>
        <v>11</v>
      </c>
      <c r="O561" s="21">
        <f t="shared" si="50"/>
        <v>45962</v>
      </c>
      <c r="P561" s="13">
        <f t="shared" si="51"/>
        <v>0.19986865148861646</v>
      </c>
      <c r="Q561" s="5">
        <f t="shared" si="52"/>
        <v>202511</v>
      </c>
      <c r="R561" s="21">
        <f t="shared" si="53"/>
        <v>45962</v>
      </c>
    </row>
    <row r="562" spans="1:18" x14ac:dyDescent="0.25">
      <c r="A562" s="5" t="s">
        <v>1075</v>
      </c>
      <c r="B562" s="14">
        <v>45412</v>
      </c>
      <c r="C562" s="5" t="s">
        <v>1076</v>
      </c>
      <c r="D562" s="10" t="s">
        <v>42</v>
      </c>
      <c r="E562" s="10" t="s">
        <v>88</v>
      </c>
      <c r="F562" s="10" t="s">
        <v>22</v>
      </c>
      <c r="G562" s="15">
        <v>3</v>
      </c>
      <c r="H562" s="11">
        <v>3402.8948</v>
      </c>
      <c r="I562" s="12">
        <v>0</v>
      </c>
      <c r="J562" s="11">
        <v>10208.684399999998</v>
      </c>
      <c r="K562" s="11">
        <v>5599.2570999999998</v>
      </c>
      <c r="L562" s="10" t="s">
        <v>17</v>
      </c>
      <c r="M562" s="5">
        <f t="shared" si="48"/>
        <v>2024</v>
      </c>
      <c r="N562" s="5">
        <f t="shared" si="49"/>
        <v>4</v>
      </c>
      <c r="O562" s="21">
        <f t="shared" si="50"/>
        <v>45383</v>
      </c>
      <c r="P562" s="13">
        <f t="shared" si="51"/>
        <v>0.5484797923618836</v>
      </c>
      <c r="Q562" s="5">
        <f t="shared" si="52"/>
        <v>202404</v>
      </c>
      <c r="R562" s="21">
        <f t="shared" si="53"/>
        <v>45383</v>
      </c>
    </row>
    <row r="563" spans="1:18" x14ac:dyDescent="0.25">
      <c r="A563" s="5" t="s">
        <v>1077</v>
      </c>
      <c r="B563" s="14">
        <v>45510</v>
      </c>
      <c r="C563" s="5" t="s">
        <v>1078</v>
      </c>
      <c r="D563" s="10" t="s">
        <v>42</v>
      </c>
      <c r="E563" s="10" t="s">
        <v>141</v>
      </c>
      <c r="F563" s="10" t="s">
        <v>16</v>
      </c>
      <c r="G563" s="15">
        <v>4</v>
      </c>
      <c r="H563" s="11">
        <v>12776.9426</v>
      </c>
      <c r="I563" s="12">
        <v>5</v>
      </c>
      <c r="J563" s="11">
        <v>48552.760399999999</v>
      </c>
      <c r="K563" s="11">
        <v>11141.736199999999</v>
      </c>
      <c r="L563" s="10" t="s">
        <v>34</v>
      </c>
      <c r="M563" s="5">
        <f t="shared" si="48"/>
        <v>2024</v>
      </c>
      <c r="N563" s="5">
        <f t="shared" si="49"/>
        <v>8</v>
      </c>
      <c r="O563" s="21">
        <f t="shared" si="50"/>
        <v>45505</v>
      </c>
      <c r="P563" s="13">
        <f t="shared" si="51"/>
        <v>0.22947688469634364</v>
      </c>
      <c r="Q563" s="5">
        <f t="shared" si="52"/>
        <v>202408</v>
      </c>
      <c r="R563" s="21">
        <f t="shared" si="53"/>
        <v>45505</v>
      </c>
    </row>
    <row r="564" spans="1:18" x14ac:dyDescent="0.25">
      <c r="A564" s="5" t="s">
        <v>1079</v>
      </c>
      <c r="B564" s="14">
        <v>45930</v>
      </c>
      <c r="C564" s="5" t="s">
        <v>1080</v>
      </c>
      <c r="D564" s="10" t="s">
        <v>26</v>
      </c>
      <c r="E564" s="10" t="s">
        <v>21</v>
      </c>
      <c r="F564" s="10" t="s">
        <v>22</v>
      </c>
      <c r="G564" s="15">
        <v>5</v>
      </c>
      <c r="H564" s="11">
        <v>2567.3118999999997</v>
      </c>
      <c r="I564" s="12">
        <v>0</v>
      </c>
      <c r="J564" s="11">
        <v>12836.559499999999</v>
      </c>
      <c r="K564" s="11">
        <v>7108.6055999999999</v>
      </c>
      <c r="L564" s="10" t="s">
        <v>17</v>
      </c>
      <c r="M564" s="5">
        <f t="shared" si="48"/>
        <v>2025</v>
      </c>
      <c r="N564" s="5">
        <f t="shared" si="49"/>
        <v>9</v>
      </c>
      <c r="O564" s="21">
        <f t="shared" si="50"/>
        <v>45901</v>
      </c>
      <c r="P564" s="13">
        <f t="shared" si="51"/>
        <v>0.55377810541835604</v>
      </c>
      <c r="Q564" s="5">
        <f t="shared" si="52"/>
        <v>202509</v>
      </c>
      <c r="R564" s="21">
        <f t="shared" si="53"/>
        <v>45901</v>
      </c>
    </row>
    <row r="565" spans="1:18" x14ac:dyDescent="0.25">
      <c r="A565" s="5" t="s">
        <v>1081</v>
      </c>
      <c r="B565" s="14">
        <v>45911</v>
      </c>
      <c r="C565" s="5" t="s">
        <v>1082</v>
      </c>
      <c r="D565" s="10" t="s">
        <v>37</v>
      </c>
      <c r="E565" s="10" t="s">
        <v>324</v>
      </c>
      <c r="F565" s="10" t="s">
        <v>16</v>
      </c>
      <c r="G565" s="15">
        <v>4</v>
      </c>
      <c r="H565" s="11">
        <v>8994.5814999999984</v>
      </c>
      <c r="I565" s="12">
        <v>5</v>
      </c>
      <c r="J565" s="11">
        <v>34179.409699999997</v>
      </c>
      <c r="K565" s="11">
        <v>6217.1909999999998</v>
      </c>
      <c r="L565" s="10" t="s">
        <v>23</v>
      </c>
      <c r="M565" s="5">
        <f t="shared" si="48"/>
        <v>2025</v>
      </c>
      <c r="N565" s="5">
        <f t="shared" si="49"/>
        <v>9</v>
      </c>
      <c r="O565" s="21">
        <f t="shared" si="50"/>
        <v>45901</v>
      </c>
      <c r="P565" s="13">
        <f t="shared" si="51"/>
        <v>0.18189872366344584</v>
      </c>
      <c r="Q565" s="5">
        <f t="shared" si="52"/>
        <v>202509</v>
      </c>
      <c r="R565" s="21">
        <f t="shared" si="53"/>
        <v>45901</v>
      </c>
    </row>
    <row r="566" spans="1:18" x14ac:dyDescent="0.25">
      <c r="A566" s="5" t="s">
        <v>1083</v>
      </c>
      <c r="B566" s="14">
        <v>45957</v>
      </c>
      <c r="C566" s="5" t="s">
        <v>698</v>
      </c>
      <c r="D566" s="10" t="s">
        <v>37</v>
      </c>
      <c r="E566" s="10" t="s">
        <v>30</v>
      </c>
      <c r="F566" s="10" t="s">
        <v>16</v>
      </c>
      <c r="G566" s="15">
        <v>4</v>
      </c>
      <c r="H566" s="11">
        <v>12877.250400000001</v>
      </c>
      <c r="I566" s="12">
        <v>0</v>
      </c>
      <c r="J566" s="11">
        <v>51509.001600000003</v>
      </c>
      <c r="K566" s="11">
        <v>6073.3534</v>
      </c>
      <c r="L566" s="10" t="s">
        <v>23</v>
      </c>
      <c r="M566" s="5">
        <f t="shared" si="48"/>
        <v>2025</v>
      </c>
      <c r="N566" s="5">
        <f t="shared" si="49"/>
        <v>10</v>
      </c>
      <c r="O566" s="21">
        <f t="shared" si="50"/>
        <v>45931</v>
      </c>
      <c r="P566" s="13">
        <f t="shared" si="51"/>
        <v>0.11790858318636095</v>
      </c>
      <c r="Q566" s="5">
        <f t="shared" si="52"/>
        <v>202510</v>
      </c>
      <c r="R566" s="21">
        <f t="shared" si="53"/>
        <v>45931</v>
      </c>
    </row>
    <row r="567" spans="1:18" x14ac:dyDescent="0.25">
      <c r="A567" s="5" t="s">
        <v>1084</v>
      </c>
      <c r="B567" s="14">
        <v>45947</v>
      </c>
      <c r="C567" s="5" t="s">
        <v>1085</v>
      </c>
      <c r="D567" s="10" t="s">
        <v>14</v>
      </c>
      <c r="E567" s="10" t="s">
        <v>136</v>
      </c>
      <c r="F567" s="10" t="s">
        <v>75</v>
      </c>
      <c r="G567" s="15">
        <v>2</v>
      </c>
      <c r="H567" s="11">
        <v>4549.8103999999994</v>
      </c>
      <c r="I567" s="12">
        <v>15</v>
      </c>
      <c r="J567" s="11">
        <v>7735.0561999999991</v>
      </c>
      <c r="K567" s="11">
        <v>2683.7067999999999</v>
      </c>
      <c r="L567" s="10" t="s">
        <v>34</v>
      </c>
      <c r="M567" s="5">
        <f t="shared" si="48"/>
        <v>2025</v>
      </c>
      <c r="N567" s="5">
        <f t="shared" si="49"/>
        <v>10</v>
      </c>
      <c r="O567" s="21">
        <f t="shared" si="50"/>
        <v>45931</v>
      </c>
      <c r="P567" s="13">
        <f t="shared" si="51"/>
        <v>0.34695375581110843</v>
      </c>
      <c r="Q567" s="5">
        <f t="shared" si="52"/>
        <v>202510</v>
      </c>
      <c r="R567" s="21">
        <f t="shared" si="53"/>
        <v>45931</v>
      </c>
    </row>
    <row r="568" spans="1:18" x14ac:dyDescent="0.25">
      <c r="A568" s="5" t="s">
        <v>1086</v>
      </c>
      <c r="B568" s="14">
        <v>45340</v>
      </c>
      <c r="C568" s="5" t="s">
        <v>1087</v>
      </c>
      <c r="D568" s="10" t="s">
        <v>20</v>
      </c>
      <c r="E568" s="10" t="s">
        <v>291</v>
      </c>
      <c r="F568" s="10" t="s">
        <v>22</v>
      </c>
      <c r="G568" s="15">
        <v>1</v>
      </c>
      <c r="H568" s="11">
        <v>1478.1206</v>
      </c>
      <c r="I568" s="12">
        <v>10</v>
      </c>
      <c r="J568" s="11">
        <v>1330.4977999999999</v>
      </c>
      <c r="K568" s="11">
        <v>556.42439999999999</v>
      </c>
      <c r="L568" s="10" t="s">
        <v>23</v>
      </c>
      <c r="M568" s="5">
        <f t="shared" si="48"/>
        <v>2024</v>
      </c>
      <c r="N568" s="5">
        <f t="shared" si="49"/>
        <v>2</v>
      </c>
      <c r="O568" s="21">
        <f t="shared" si="50"/>
        <v>45323</v>
      </c>
      <c r="P568" s="13">
        <f t="shared" si="51"/>
        <v>0.41820768136557612</v>
      </c>
      <c r="Q568" s="5">
        <f t="shared" si="52"/>
        <v>202402</v>
      </c>
      <c r="R568" s="21">
        <f t="shared" si="53"/>
        <v>45323</v>
      </c>
    </row>
    <row r="569" spans="1:18" x14ac:dyDescent="0.25">
      <c r="A569" s="5" t="s">
        <v>1088</v>
      </c>
      <c r="B569" s="14">
        <v>45813</v>
      </c>
      <c r="C569" s="5" t="s">
        <v>1089</v>
      </c>
      <c r="D569" s="10" t="s">
        <v>20</v>
      </c>
      <c r="E569" s="10" t="s">
        <v>460</v>
      </c>
      <c r="F569" s="10" t="s">
        <v>75</v>
      </c>
      <c r="G569" s="15">
        <v>1</v>
      </c>
      <c r="H569" s="11">
        <v>2840.7925999999998</v>
      </c>
      <c r="I569" s="12">
        <v>0</v>
      </c>
      <c r="J569" s="11">
        <v>2840.7925999999998</v>
      </c>
      <c r="K569" s="11">
        <v>779.75119999999993</v>
      </c>
      <c r="L569" s="10" t="s">
        <v>23</v>
      </c>
      <c r="M569" s="5">
        <f t="shared" si="48"/>
        <v>2025</v>
      </c>
      <c r="N569" s="5">
        <f t="shared" si="49"/>
        <v>6</v>
      </c>
      <c r="O569" s="21">
        <f t="shared" si="50"/>
        <v>45809</v>
      </c>
      <c r="P569" s="13">
        <f t="shared" si="51"/>
        <v>0.27448367754830111</v>
      </c>
      <c r="Q569" s="5">
        <f t="shared" si="52"/>
        <v>202506</v>
      </c>
      <c r="R569" s="21">
        <f t="shared" si="53"/>
        <v>45809</v>
      </c>
    </row>
    <row r="570" spans="1:18" x14ac:dyDescent="0.25">
      <c r="A570" s="5" t="s">
        <v>1090</v>
      </c>
      <c r="B570" s="14">
        <v>45785</v>
      </c>
      <c r="C570" s="5" t="s">
        <v>508</v>
      </c>
      <c r="D570" s="10" t="s">
        <v>20</v>
      </c>
      <c r="E570" s="10" t="s">
        <v>69</v>
      </c>
      <c r="F570" s="10" t="s">
        <v>39</v>
      </c>
      <c r="G570" s="15">
        <v>2</v>
      </c>
      <c r="H570" s="11">
        <v>5533.9623999999994</v>
      </c>
      <c r="I570" s="12">
        <v>0</v>
      </c>
      <c r="J570" s="11">
        <v>11067.924799999999</v>
      </c>
      <c r="K570" s="11">
        <v>3123.7362999999996</v>
      </c>
      <c r="L570" s="10" t="s">
        <v>23</v>
      </c>
      <c r="M570" s="5">
        <f t="shared" si="48"/>
        <v>2025</v>
      </c>
      <c r="N570" s="5">
        <f t="shared" si="49"/>
        <v>5</v>
      </c>
      <c r="O570" s="21">
        <f t="shared" si="50"/>
        <v>45778</v>
      </c>
      <c r="P570" s="13">
        <f t="shared" si="51"/>
        <v>0.28223324213406292</v>
      </c>
      <c r="Q570" s="5">
        <f t="shared" si="52"/>
        <v>202505</v>
      </c>
      <c r="R570" s="21">
        <f t="shared" si="53"/>
        <v>45778</v>
      </c>
    </row>
    <row r="571" spans="1:18" x14ac:dyDescent="0.25">
      <c r="A571" s="5" t="s">
        <v>1091</v>
      </c>
      <c r="B571" s="14">
        <v>45996</v>
      </c>
      <c r="C571" s="5" t="s">
        <v>1092</v>
      </c>
      <c r="D571" s="10" t="s">
        <v>37</v>
      </c>
      <c r="E571" s="10" t="s">
        <v>502</v>
      </c>
      <c r="F571" s="10" t="s">
        <v>22</v>
      </c>
      <c r="G571" s="15">
        <v>1</v>
      </c>
      <c r="H571" s="11">
        <v>2766.9811999999997</v>
      </c>
      <c r="I571" s="12">
        <v>5</v>
      </c>
      <c r="J571" s="11">
        <v>2628.8213999999998</v>
      </c>
      <c r="K571" s="11">
        <v>1198.9621</v>
      </c>
      <c r="L571" s="10" t="s">
        <v>23</v>
      </c>
      <c r="M571" s="5">
        <f t="shared" si="48"/>
        <v>2025</v>
      </c>
      <c r="N571" s="5">
        <f t="shared" si="49"/>
        <v>12</v>
      </c>
      <c r="O571" s="21">
        <f t="shared" si="50"/>
        <v>45992</v>
      </c>
      <c r="P571" s="13">
        <f t="shared" si="51"/>
        <v>0.45608351331893449</v>
      </c>
      <c r="Q571" s="5">
        <f t="shared" si="52"/>
        <v>202512</v>
      </c>
      <c r="R571" s="21">
        <f t="shared" si="53"/>
        <v>45992</v>
      </c>
    </row>
    <row r="572" spans="1:18" x14ac:dyDescent="0.25">
      <c r="A572" s="5" t="s">
        <v>1093</v>
      </c>
      <c r="B572" s="14">
        <v>45789</v>
      </c>
      <c r="C572" s="5" t="s">
        <v>1094</v>
      </c>
      <c r="D572" s="10" t="s">
        <v>14</v>
      </c>
      <c r="E572" s="10" t="s">
        <v>460</v>
      </c>
      <c r="F572" s="10" t="s">
        <v>75</v>
      </c>
      <c r="G572" s="15">
        <v>2</v>
      </c>
      <c r="H572" s="11">
        <v>1663.5953999999997</v>
      </c>
      <c r="I572" s="12">
        <v>20</v>
      </c>
      <c r="J572" s="11">
        <v>2661.9418999999998</v>
      </c>
      <c r="K572" s="11">
        <v>722.02689999999996</v>
      </c>
      <c r="L572" s="10" t="s">
        <v>17</v>
      </c>
      <c r="M572" s="5">
        <f t="shared" si="48"/>
        <v>2025</v>
      </c>
      <c r="N572" s="5">
        <f t="shared" si="49"/>
        <v>5</v>
      </c>
      <c r="O572" s="21">
        <f t="shared" si="50"/>
        <v>45778</v>
      </c>
      <c r="P572" s="13">
        <f t="shared" si="51"/>
        <v>0.27124066832563098</v>
      </c>
      <c r="Q572" s="5">
        <f t="shared" si="52"/>
        <v>202505</v>
      </c>
      <c r="R572" s="21">
        <f t="shared" si="53"/>
        <v>45778</v>
      </c>
    </row>
    <row r="573" spans="1:18" x14ac:dyDescent="0.25">
      <c r="A573" s="5" t="s">
        <v>1095</v>
      </c>
      <c r="B573" s="14">
        <v>45943</v>
      </c>
      <c r="C573" s="5" t="s">
        <v>1096</v>
      </c>
      <c r="D573" s="10" t="s">
        <v>26</v>
      </c>
      <c r="E573" s="10" t="s">
        <v>88</v>
      </c>
      <c r="F573" s="10" t="s">
        <v>22</v>
      </c>
      <c r="G573" s="15">
        <v>1</v>
      </c>
      <c r="H573" s="11">
        <v>938.7296</v>
      </c>
      <c r="I573" s="12">
        <v>0</v>
      </c>
      <c r="J573" s="11">
        <v>938.7296</v>
      </c>
      <c r="K573" s="11">
        <v>506.27049999999997</v>
      </c>
      <c r="L573" s="10" t="s">
        <v>23</v>
      </c>
      <c r="M573" s="5">
        <f t="shared" si="48"/>
        <v>2025</v>
      </c>
      <c r="N573" s="5">
        <f t="shared" si="49"/>
        <v>10</v>
      </c>
      <c r="O573" s="21">
        <f t="shared" si="50"/>
        <v>45931</v>
      </c>
      <c r="P573" s="13">
        <f t="shared" si="51"/>
        <v>0.53931451612903225</v>
      </c>
      <c r="Q573" s="5">
        <f t="shared" si="52"/>
        <v>202510</v>
      </c>
      <c r="R573" s="21">
        <f t="shared" si="53"/>
        <v>45931</v>
      </c>
    </row>
    <row r="574" spans="1:18" x14ac:dyDescent="0.25">
      <c r="A574" s="5" t="s">
        <v>1097</v>
      </c>
      <c r="B574" s="14">
        <v>45330</v>
      </c>
      <c r="C574" s="5" t="s">
        <v>1098</v>
      </c>
      <c r="D574" s="10" t="s">
        <v>42</v>
      </c>
      <c r="E574" s="10" t="s">
        <v>108</v>
      </c>
      <c r="F574" s="10" t="s">
        <v>75</v>
      </c>
      <c r="G574" s="15">
        <v>1</v>
      </c>
      <c r="H574" s="11">
        <v>3598.7788999999998</v>
      </c>
      <c r="I574" s="12">
        <v>0</v>
      </c>
      <c r="J574" s="11">
        <v>3598.7788999999998</v>
      </c>
      <c r="K574" s="11">
        <v>910.34059999999988</v>
      </c>
      <c r="L574" s="10" t="s">
        <v>23</v>
      </c>
      <c r="M574" s="5">
        <f t="shared" si="48"/>
        <v>2024</v>
      </c>
      <c r="N574" s="5">
        <f t="shared" si="49"/>
        <v>2</v>
      </c>
      <c r="O574" s="21">
        <f t="shared" si="50"/>
        <v>45323</v>
      </c>
      <c r="P574" s="13">
        <f t="shared" si="51"/>
        <v>0.25295819090191951</v>
      </c>
      <c r="Q574" s="5">
        <f t="shared" si="52"/>
        <v>202402</v>
      </c>
      <c r="R574" s="21">
        <f t="shared" si="53"/>
        <v>45323</v>
      </c>
    </row>
    <row r="575" spans="1:18" x14ac:dyDescent="0.25">
      <c r="A575" s="5" t="s">
        <v>1099</v>
      </c>
      <c r="B575" s="14">
        <v>45990</v>
      </c>
      <c r="C575" s="5" t="s">
        <v>1100</v>
      </c>
      <c r="D575" s="10" t="s">
        <v>14</v>
      </c>
      <c r="E575" s="10" t="s">
        <v>69</v>
      </c>
      <c r="F575" s="10" t="s">
        <v>39</v>
      </c>
      <c r="G575" s="15">
        <v>2</v>
      </c>
      <c r="H575" s="11">
        <v>2892.8390999999997</v>
      </c>
      <c r="I575" s="12">
        <v>5</v>
      </c>
      <c r="J575" s="11">
        <v>5496.1103999999996</v>
      </c>
      <c r="K575" s="11">
        <v>1509.3484999999998</v>
      </c>
      <c r="L575" s="10" t="s">
        <v>17</v>
      </c>
      <c r="M575" s="5">
        <f t="shared" si="48"/>
        <v>2025</v>
      </c>
      <c r="N575" s="5">
        <f t="shared" si="49"/>
        <v>11</v>
      </c>
      <c r="O575" s="21">
        <f t="shared" si="50"/>
        <v>45962</v>
      </c>
      <c r="P575" s="13">
        <f t="shared" si="51"/>
        <v>0.2746212121212121</v>
      </c>
      <c r="Q575" s="5">
        <f t="shared" si="52"/>
        <v>202511</v>
      </c>
      <c r="R575" s="21">
        <f t="shared" si="53"/>
        <v>45962</v>
      </c>
    </row>
    <row r="576" spans="1:18" x14ac:dyDescent="0.25">
      <c r="A576" s="5" t="s">
        <v>1101</v>
      </c>
      <c r="B576" s="14">
        <v>45787</v>
      </c>
      <c r="C576" s="5" t="s">
        <v>905</v>
      </c>
      <c r="D576" s="10" t="s">
        <v>14</v>
      </c>
      <c r="E576" s="10" t="s">
        <v>208</v>
      </c>
      <c r="F576" s="10" t="s">
        <v>22</v>
      </c>
      <c r="G576" s="15">
        <v>1</v>
      </c>
      <c r="H576" s="11">
        <v>2136.7453999999998</v>
      </c>
      <c r="I576" s="12">
        <v>10</v>
      </c>
      <c r="J576" s="11">
        <v>1922.8815999999999</v>
      </c>
      <c r="K576" s="11">
        <v>823.28099999999995</v>
      </c>
      <c r="L576" s="10" t="s">
        <v>23</v>
      </c>
      <c r="M576" s="5">
        <f t="shared" si="48"/>
        <v>2025</v>
      </c>
      <c r="N576" s="5">
        <f t="shared" si="49"/>
        <v>5</v>
      </c>
      <c r="O576" s="21">
        <f t="shared" si="50"/>
        <v>45778</v>
      </c>
      <c r="P576" s="13">
        <f t="shared" si="51"/>
        <v>0.42814960629921256</v>
      </c>
      <c r="Q576" s="5">
        <f t="shared" si="52"/>
        <v>202505</v>
      </c>
      <c r="R576" s="21">
        <f t="shared" si="53"/>
        <v>45778</v>
      </c>
    </row>
    <row r="577" spans="1:18" x14ac:dyDescent="0.25">
      <c r="A577" s="5" t="s">
        <v>1102</v>
      </c>
      <c r="B577" s="14">
        <v>45374</v>
      </c>
      <c r="C577" s="5" t="s">
        <v>1103</v>
      </c>
      <c r="D577" s="10" t="s">
        <v>20</v>
      </c>
      <c r="E577" s="10" t="s">
        <v>74</v>
      </c>
      <c r="F577" s="10" t="s">
        <v>75</v>
      </c>
      <c r="G577" s="15">
        <v>1</v>
      </c>
      <c r="H577" s="11">
        <v>4601.8568999999998</v>
      </c>
      <c r="I577" s="12">
        <v>15</v>
      </c>
      <c r="J577" s="11">
        <v>3912.0042000000003</v>
      </c>
      <c r="K577" s="11">
        <v>865.86450000000002</v>
      </c>
      <c r="L577" s="10" t="s">
        <v>17</v>
      </c>
      <c r="M577" s="5">
        <f t="shared" si="48"/>
        <v>2024</v>
      </c>
      <c r="N577" s="5">
        <f t="shared" si="49"/>
        <v>3</v>
      </c>
      <c r="O577" s="21">
        <f t="shared" si="50"/>
        <v>45352</v>
      </c>
      <c r="P577" s="13">
        <f t="shared" si="51"/>
        <v>0.22133526850507981</v>
      </c>
      <c r="Q577" s="5">
        <f t="shared" si="52"/>
        <v>202403</v>
      </c>
      <c r="R577" s="21">
        <f t="shared" si="53"/>
        <v>45352</v>
      </c>
    </row>
    <row r="578" spans="1:18" x14ac:dyDescent="0.25">
      <c r="A578" s="5" t="s">
        <v>1104</v>
      </c>
      <c r="B578" s="14">
        <v>45294</v>
      </c>
      <c r="C578" s="5" t="s">
        <v>882</v>
      </c>
      <c r="D578" s="10" t="s">
        <v>14</v>
      </c>
      <c r="E578" s="10" t="s">
        <v>33</v>
      </c>
      <c r="F578" s="10" t="s">
        <v>16</v>
      </c>
      <c r="G578" s="15">
        <v>1</v>
      </c>
      <c r="H578" s="11">
        <v>12610.393799999998</v>
      </c>
      <c r="I578" s="12">
        <v>10</v>
      </c>
      <c r="J578" s="11">
        <v>11348.975899999999</v>
      </c>
      <c r="K578" s="11">
        <v>2334.5221000000001</v>
      </c>
      <c r="L578" s="10" t="s">
        <v>17</v>
      </c>
      <c r="M578" s="5">
        <f t="shared" ref="M578:M641" si="54">YEAR(B578)</f>
        <v>2024</v>
      </c>
      <c r="N578" s="5">
        <f t="shared" ref="N578:N641" si="55">MONTH(B578)</f>
        <v>1</v>
      </c>
      <c r="O578" s="21">
        <f t="shared" ref="O578:O641" si="56">DATE(YEAR(B578),MONTH(B578),1)</f>
        <v>45292</v>
      </c>
      <c r="P578" s="13">
        <f t="shared" ref="P578:P641" si="57">(K578/J578)</f>
        <v>0.20570332694071544</v>
      </c>
      <c r="Q578" s="5">
        <f t="shared" ref="Q578:Q641" si="58">YEAR(B578)*100+MONTH(B578)</f>
        <v>202401</v>
      </c>
      <c r="R578" s="21">
        <f t="shared" ref="R578:R641" si="59">DATE(YEAR(B578),MONTH(B578),1)</f>
        <v>45292</v>
      </c>
    </row>
    <row r="579" spans="1:18" x14ac:dyDescent="0.25">
      <c r="A579" s="5" t="s">
        <v>1105</v>
      </c>
      <c r="B579" s="14">
        <v>45906</v>
      </c>
      <c r="C579" s="5" t="s">
        <v>203</v>
      </c>
      <c r="D579" s="10" t="s">
        <v>26</v>
      </c>
      <c r="E579" s="10" t="s">
        <v>30</v>
      </c>
      <c r="F579" s="10" t="s">
        <v>16</v>
      </c>
      <c r="G579" s="15">
        <v>1</v>
      </c>
      <c r="H579" s="11">
        <v>8974.7091999999993</v>
      </c>
      <c r="I579" s="12">
        <v>5</v>
      </c>
      <c r="J579" s="11">
        <v>8526.1629999999986</v>
      </c>
      <c r="K579" s="11">
        <v>2000.4782</v>
      </c>
      <c r="L579" s="10" t="s">
        <v>17</v>
      </c>
      <c r="M579" s="5">
        <f t="shared" si="54"/>
        <v>2025</v>
      </c>
      <c r="N579" s="5">
        <f t="shared" si="55"/>
        <v>9</v>
      </c>
      <c r="O579" s="21">
        <f t="shared" si="56"/>
        <v>45901</v>
      </c>
      <c r="P579" s="13">
        <f t="shared" si="57"/>
        <v>0.23462819089900114</v>
      </c>
      <c r="Q579" s="5">
        <f t="shared" si="58"/>
        <v>202509</v>
      </c>
      <c r="R579" s="21">
        <f t="shared" si="59"/>
        <v>45901</v>
      </c>
    </row>
    <row r="580" spans="1:18" x14ac:dyDescent="0.25">
      <c r="A580" s="5" t="s">
        <v>1106</v>
      </c>
      <c r="B580" s="14">
        <v>45295</v>
      </c>
      <c r="C580" s="5" t="s">
        <v>1107</v>
      </c>
      <c r="D580" s="10" t="s">
        <v>20</v>
      </c>
      <c r="E580" s="10" t="s">
        <v>94</v>
      </c>
      <c r="F580" s="10" t="s">
        <v>75</v>
      </c>
      <c r="G580" s="15">
        <v>3</v>
      </c>
      <c r="H580" s="11">
        <v>1008.7557999999999</v>
      </c>
      <c r="I580" s="12">
        <v>10</v>
      </c>
      <c r="J580" s="11">
        <v>2723.4513999999999</v>
      </c>
      <c r="K580" s="11">
        <v>420.15719999999999</v>
      </c>
      <c r="L580" s="10" t="s">
        <v>17</v>
      </c>
      <c r="M580" s="5">
        <f t="shared" si="54"/>
        <v>2024</v>
      </c>
      <c r="N580" s="5">
        <f t="shared" si="55"/>
        <v>1</v>
      </c>
      <c r="O580" s="21">
        <f t="shared" si="56"/>
        <v>45292</v>
      </c>
      <c r="P580" s="13">
        <f t="shared" si="57"/>
        <v>0.15427380125086865</v>
      </c>
      <c r="Q580" s="5">
        <f t="shared" si="58"/>
        <v>202401</v>
      </c>
      <c r="R580" s="21">
        <f t="shared" si="59"/>
        <v>45292</v>
      </c>
    </row>
    <row r="581" spans="1:18" x14ac:dyDescent="0.25">
      <c r="A581" s="5" t="s">
        <v>1108</v>
      </c>
      <c r="B581" s="14">
        <v>45316</v>
      </c>
      <c r="C581" s="5" t="s">
        <v>195</v>
      </c>
      <c r="D581" s="10" t="s">
        <v>14</v>
      </c>
      <c r="E581" s="10" t="s">
        <v>94</v>
      </c>
      <c r="F581" s="10" t="s">
        <v>75</v>
      </c>
      <c r="G581" s="15">
        <v>2</v>
      </c>
      <c r="H581" s="11">
        <v>4996.4639999999999</v>
      </c>
      <c r="I581" s="12">
        <v>10</v>
      </c>
      <c r="J581" s="11">
        <v>8993.6352000000006</v>
      </c>
      <c r="K581" s="11">
        <v>1671.1658</v>
      </c>
      <c r="L581" s="10" t="s">
        <v>23</v>
      </c>
      <c r="M581" s="5">
        <f t="shared" si="54"/>
        <v>2024</v>
      </c>
      <c r="N581" s="5">
        <f t="shared" si="55"/>
        <v>1</v>
      </c>
      <c r="O581" s="21">
        <f t="shared" si="56"/>
        <v>45292</v>
      </c>
      <c r="P581" s="13">
        <f t="shared" si="57"/>
        <v>0.1858164983164983</v>
      </c>
      <c r="Q581" s="5">
        <f t="shared" si="58"/>
        <v>202401</v>
      </c>
      <c r="R581" s="21">
        <f t="shared" si="59"/>
        <v>45292</v>
      </c>
    </row>
    <row r="582" spans="1:18" x14ac:dyDescent="0.25">
      <c r="A582" s="5" t="s">
        <v>1109</v>
      </c>
      <c r="B582" s="14">
        <v>45448</v>
      </c>
      <c r="C582" s="5" t="s">
        <v>237</v>
      </c>
      <c r="D582" s="10" t="s">
        <v>37</v>
      </c>
      <c r="E582" s="10" t="s">
        <v>91</v>
      </c>
      <c r="F582" s="10" t="s">
        <v>49</v>
      </c>
      <c r="G582" s="15">
        <v>1</v>
      </c>
      <c r="H582" s="11">
        <v>8372.8624</v>
      </c>
      <c r="I582" s="12">
        <v>20</v>
      </c>
      <c r="J582" s="11">
        <v>6697.9114</v>
      </c>
      <c r="K582" s="11">
        <v>3639.4697999999999</v>
      </c>
      <c r="L582" s="10" t="s">
        <v>23</v>
      </c>
      <c r="M582" s="5">
        <f t="shared" si="54"/>
        <v>2024</v>
      </c>
      <c r="N582" s="5">
        <f t="shared" si="55"/>
        <v>6</v>
      </c>
      <c r="O582" s="21">
        <f t="shared" si="56"/>
        <v>45444</v>
      </c>
      <c r="P582" s="13">
        <f t="shared" si="57"/>
        <v>0.54337383441650178</v>
      </c>
      <c r="Q582" s="5">
        <f t="shared" si="58"/>
        <v>202406</v>
      </c>
      <c r="R582" s="21">
        <f t="shared" si="59"/>
        <v>45444</v>
      </c>
    </row>
    <row r="583" spans="1:18" x14ac:dyDescent="0.25">
      <c r="A583" s="5" t="s">
        <v>1110</v>
      </c>
      <c r="B583" s="14">
        <v>45382</v>
      </c>
      <c r="C583" s="5" t="s">
        <v>1111</v>
      </c>
      <c r="D583" s="10" t="s">
        <v>37</v>
      </c>
      <c r="E583" s="10" t="s">
        <v>27</v>
      </c>
      <c r="F583" s="10" t="s">
        <v>22</v>
      </c>
      <c r="G583" s="15">
        <v>3</v>
      </c>
      <c r="H583" s="11">
        <v>4634.9773999999998</v>
      </c>
      <c r="I583" s="12">
        <v>5</v>
      </c>
      <c r="J583" s="11">
        <v>13209.4017</v>
      </c>
      <c r="K583" s="11">
        <v>7218.3764000000001</v>
      </c>
      <c r="L583" s="10" t="s">
        <v>17</v>
      </c>
      <c r="M583" s="5">
        <f t="shared" si="54"/>
        <v>2024</v>
      </c>
      <c r="N583" s="5">
        <f t="shared" si="55"/>
        <v>3</v>
      </c>
      <c r="O583" s="21">
        <f t="shared" si="56"/>
        <v>45352</v>
      </c>
      <c r="P583" s="13">
        <f t="shared" si="57"/>
        <v>0.54645748262769533</v>
      </c>
      <c r="Q583" s="5">
        <f t="shared" si="58"/>
        <v>202403</v>
      </c>
      <c r="R583" s="21">
        <f t="shared" si="59"/>
        <v>45352</v>
      </c>
    </row>
    <row r="584" spans="1:18" x14ac:dyDescent="0.25">
      <c r="A584" s="5" t="s">
        <v>1112</v>
      </c>
      <c r="B584" s="14">
        <v>45460</v>
      </c>
      <c r="C584" s="5" t="s">
        <v>1113</v>
      </c>
      <c r="D584" s="10" t="s">
        <v>42</v>
      </c>
      <c r="E584" s="10" t="s">
        <v>118</v>
      </c>
      <c r="F584" s="10" t="s">
        <v>49</v>
      </c>
      <c r="G584" s="15">
        <v>2</v>
      </c>
      <c r="H584" s="11">
        <v>6645.8649000000005</v>
      </c>
      <c r="I584" s="12">
        <v>15</v>
      </c>
      <c r="J584" s="11">
        <v>11297.875699999999</v>
      </c>
      <c r="K584" s="11">
        <v>5097.7180999999991</v>
      </c>
      <c r="L584" s="10" t="s">
        <v>23</v>
      </c>
      <c r="M584" s="5">
        <f t="shared" si="54"/>
        <v>2024</v>
      </c>
      <c r="N584" s="5">
        <f t="shared" si="55"/>
        <v>6</v>
      </c>
      <c r="O584" s="21">
        <f t="shared" si="56"/>
        <v>45444</v>
      </c>
      <c r="P584" s="13">
        <f t="shared" si="57"/>
        <v>0.4512103191222045</v>
      </c>
      <c r="Q584" s="5">
        <f t="shared" si="58"/>
        <v>202406</v>
      </c>
      <c r="R584" s="21">
        <f t="shared" si="59"/>
        <v>45444</v>
      </c>
    </row>
    <row r="585" spans="1:18" x14ac:dyDescent="0.25">
      <c r="A585" s="5" t="s">
        <v>1114</v>
      </c>
      <c r="B585" s="14">
        <v>45491</v>
      </c>
      <c r="C585" s="5" t="s">
        <v>1115</v>
      </c>
      <c r="D585" s="10" t="s">
        <v>20</v>
      </c>
      <c r="E585" s="10" t="s">
        <v>187</v>
      </c>
      <c r="F585" s="10" t="s">
        <v>75</v>
      </c>
      <c r="G585" s="15">
        <v>2</v>
      </c>
      <c r="H585" s="11">
        <v>1632.3674999999998</v>
      </c>
      <c r="I585" s="12">
        <v>15</v>
      </c>
      <c r="J585" s="11">
        <v>2775.4978999999998</v>
      </c>
      <c r="K585" s="11">
        <v>646.3229</v>
      </c>
      <c r="L585" s="10" t="s">
        <v>17</v>
      </c>
      <c r="M585" s="5">
        <f t="shared" si="54"/>
        <v>2024</v>
      </c>
      <c r="N585" s="5">
        <f t="shared" si="55"/>
        <v>7</v>
      </c>
      <c r="O585" s="21">
        <f t="shared" si="56"/>
        <v>45474</v>
      </c>
      <c r="P585" s="13">
        <f t="shared" si="57"/>
        <v>0.23286737129219232</v>
      </c>
      <c r="Q585" s="5">
        <f t="shared" si="58"/>
        <v>202407</v>
      </c>
      <c r="R585" s="21">
        <f t="shared" si="59"/>
        <v>45474</v>
      </c>
    </row>
    <row r="586" spans="1:18" x14ac:dyDescent="0.25">
      <c r="A586" s="5" t="s">
        <v>1116</v>
      </c>
      <c r="B586" s="14">
        <v>45311</v>
      </c>
      <c r="C586" s="5" t="s">
        <v>914</v>
      </c>
      <c r="D586" s="10" t="s">
        <v>37</v>
      </c>
      <c r="E586" s="10" t="s">
        <v>15</v>
      </c>
      <c r="F586" s="10" t="s">
        <v>16</v>
      </c>
      <c r="G586" s="15">
        <v>2</v>
      </c>
      <c r="H586" s="11">
        <v>11590.2824</v>
      </c>
      <c r="I586" s="12">
        <v>10</v>
      </c>
      <c r="J586" s="11">
        <v>20862.129799999999</v>
      </c>
      <c r="K586" s="11">
        <v>2015.6189999999999</v>
      </c>
      <c r="L586" s="10" t="s">
        <v>17</v>
      </c>
      <c r="M586" s="5">
        <f t="shared" si="54"/>
        <v>2024</v>
      </c>
      <c r="N586" s="5">
        <f t="shared" si="55"/>
        <v>1</v>
      </c>
      <c r="O586" s="21">
        <f t="shared" si="56"/>
        <v>45292</v>
      </c>
      <c r="P586" s="13">
        <f t="shared" si="57"/>
        <v>9.6616166197949743E-2</v>
      </c>
      <c r="Q586" s="5">
        <f t="shared" si="58"/>
        <v>202401</v>
      </c>
      <c r="R586" s="21">
        <f t="shared" si="59"/>
        <v>45292</v>
      </c>
    </row>
    <row r="587" spans="1:18" x14ac:dyDescent="0.25">
      <c r="A587" s="5" t="s">
        <v>1117</v>
      </c>
      <c r="B587" s="14">
        <v>45667</v>
      </c>
      <c r="C587" s="5" t="s">
        <v>1118</v>
      </c>
      <c r="D587" s="10" t="s">
        <v>20</v>
      </c>
      <c r="E587" s="10" t="s">
        <v>61</v>
      </c>
      <c r="F587" s="10" t="s">
        <v>39</v>
      </c>
      <c r="G587" s="15">
        <v>1</v>
      </c>
      <c r="H587" s="11">
        <v>3895.9171000000001</v>
      </c>
      <c r="I587" s="12">
        <v>10</v>
      </c>
      <c r="J587" s="11">
        <v>3506.0414999999994</v>
      </c>
      <c r="K587" s="11">
        <v>1328.6052</v>
      </c>
      <c r="L587" s="10" t="s">
        <v>17</v>
      </c>
      <c r="M587" s="5">
        <f t="shared" si="54"/>
        <v>2025</v>
      </c>
      <c r="N587" s="5">
        <f t="shared" si="55"/>
        <v>1</v>
      </c>
      <c r="O587" s="21">
        <f t="shared" si="56"/>
        <v>45658</v>
      </c>
      <c r="P587" s="13">
        <f t="shared" si="57"/>
        <v>0.3789473684210527</v>
      </c>
      <c r="Q587" s="5">
        <f t="shared" si="58"/>
        <v>202501</v>
      </c>
      <c r="R587" s="21">
        <f t="shared" si="59"/>
        <v>45658</v>
      </c>
    </row>
    <row r="588" spans="1:18" x14ac:dyDescent="0.25">
      <c r="A588" s="5" t="s">
        <v>1119</v>
      </c>
      <c r="B588" s="14">
        <v>45865</v>
      </c>
      <c r="C588" s="5" t="s">
        <v>1120</v>
      </c>
      <c r="D588" s="10" t="s">
        <v>42</v>
      </c>
      <c r="E588" s="10" t="s">
        <v>52</v>
      </c>
      <c r="F588" s="10" t="s">
        <v>39</v>
      </c>
      <c r="G588" s="15">
        <v>4</v>
      </c>
      <c r="H588" s="11">
        <v>4035.9694999999997</v>
      </c>
      <c r="I588" s="12">
        <v>10</v>
      </c>
      <c r="J588" s="11">
        <v>14529.490199999998</v>
      </c>
      <c r="K588" s="11">
        <v>3863.7428999999997</v>
      </c>
      <c r="L588" s="10" t="s">
        <v>17</v>
      </c>
      <c r="M588" s="5">
        <f t="shared" si="54"/>
        <v>2025</v>
      </c>
      <c r="N588" s="5">
        <f t="shared" si="55"/>
        <v>7</v>
      </c>
      <c r="O588" s="21">
        <f t="shared" si="56"/>
        <v>45839</v>
      </c>
      <c r="P588" s="13">
        <f t="shared" si="57"/>
        <v>0.26592418913638138</v>
      </c>
      <c r="Q588" s="5">
        <f t="shared" si="58"/>
        <v>202507</v>
      </c>
      <c r="R588" s="21">
        <f t="shared" si="59"/>
        <v>45839</v>
      </c>
    </row>
    <row r="589" spans="1:18" x14ac:dyDescent="0.25">
      <c r="A589" s="5" t="s">
        <v>1121</v>
      </c>
      <c r="B589" s="14">
        <v>46014</v>
      </c>
      <c r="C589" s="5" t="s">
        <v>359</v>
      </c>
      <c r="D589" s="10" t="s">
        <v>42</v>
      </c>
      <c r="E589" s="10" t="s">
        <v>133</v>
      </c>
      <c r="F589" s="10" t="s">
        <v>75</v>
      </c>
      <c r="G589" s="15">
        <v>2</v>
      </c>
      <c r="H589" s="11">
        <v>4260.2426000000005</v>
      </c>
      <c r="I589" s="12">
        <v>15</v>
      </c>
      <c r="J589" s="11">
        <v>7242.0338999999994</v>
      </c>
      <c r="K589" s="11">
        <v>2378.9982</v>
      </c>
      <c r="L589" s="10" t="s">
        <v>34</v>
      </c>
      <c r="M589" s="5">
        <f t="shared" si="54"/>
        <v>2025</v>
      </c>
      <c r="N589" s="5">
        <f t="shared" si="55"/>
        <v>12</v>
      </c>
      <c r="O589" s="21">
        <f t="shared" si="56"/>
        <v>45992</v>
      </c>
      <c r="P589" s="13">
        <f t="shared" si="57"/>
        <v>0.32849862798902396</v>
      </c>
      <c r="Q589" s="5">
        <f t="shared" si="58"/>
        <v>202512</v>
      </c>
      <c r="R589" s="21">
        <f t="shared" si="59"/>
        <v>45992</v>
      </c>
    </row>
    <row r="590" spans="1:18" x14ac:dyDescent="0.25">
      <c r="A590" s="5" t="s">
        <v>1122</v>
      </c>
      <c r="B590" s="14">
        <v>45547</v>
      </c>
      <c r="C590" s="5" t="s">
        <v>1123</v>
      </c>
      <c r="D590" s="10" t="s">
        <v>42</v>
      </c>
      <c r="E590" s="10" t="s">
        <v>222</v>
      </c>
      <c r="F590" s="10" t="s">
        <v>22</v>
      </c>
      <c r="G590" s="15">
        <v>2</v>
      </c>
      <c r="H590" s="11">
        <v>2696.9549999999999</v>
      </c>
      <c r="I590" s="12">
        <v>0</v>
      </c>
      <c r="J590" s="11">
        <v>5393.91</v>
      </c>
      <c r="K590" s="11">
        <v>2847.4166999999998</v>
      </c>
      <c r="L590" s="10" t="s">
        <v>17</v>
      </c>
      <c r="M590" s="5">
        <f t="shared" si="54"/>
        <v>2024</v>
      </c>
      <c r="N590" s="5">
        <f t="shared" si="55"/>
        <v>9</v>
      </c>
      <c r="O590" s="21">
        <f t="shared" si="56"/>
        <v>45536</v>
      </c>
      <c r="P590" s="13">
        <f t="shared" si="57"/>
        <v>0.52789473684210519</v>
      </c>
      <c r="Q590" s="5">
        <f t="shared" si="58"/>
        <v>202409</v>
      </c>
      <c r="R590" s="21">
        <f t="shared" si="59"/>
        <v>45536</v>
      </c>
    </row>
    <row r="591" spans="1:18" x14ac:dyDescent="0.25">
      <c r="A591" s="5" t="s">
        <v>1124</v>
      </c>
      <c r="B591" s="14">
        <v>45369</v>
      </c>
      <c r="C591" s="5" t="s">
        <v>1125</v>
      </c>
      <c r="D591" s="10" t="s">
        <v>37</v>
      </c>
      <c r="E591" s="10" t="s">
        <v>88</v>
      </c>
      <c r="F591" s="10" t="s">
        <v>22</v>
      </c>
      <c r="G591" s="15">
        <v>1</v>
      </c>
      <c r="H591" s="11">
        <v>3938.5005999999994</v>
      </c>
      <c r="I591" s="12">
        <v>10</v>
      </c>
      <c r="J591" s="11">
        <v>3544.8397999999997</v>
      </c>
      <c r="K591" s="11">
        <v>1824.4664</v>
      </c>
      <c r="L591" s="10" t="s">
        <v>17</v>
      </c>
      <c r="M591" s="5">
        <f t="shared" si="54"/>
        <v>2024</v>
      </c>
      <c r="N591" s="5">
        <f t="shared" si="55"/>
        <v>3</v>
      </c>
      <c r="O591" s="21">
        <f t="shared" si="56"/>
        <v>45352</v>
      </c>
      <c r="P591" s="13">
        <f t="shared" si="57"/>
        <v>0.51468232781633749</v>
      </c>
      <c r="Q591" s="5">
        <f t="shared" si="58"/>
        <v>202403</v>
      </c>
      <c r="R591" s="21">
        <f t="shared" si="59"/>
        <v>45352</v>
      </c>
    </row>
    <row r="592" spans="1:18" x14ac:dyDescent="0.25">
      <c r="A592" s="5" t="s">
        <v>1126</v>
      </c>
      <c r="B592" s="14">
        <v>45416</v>
      </c>
      <c r="C592" s="5" t="s">
        <v>1127</v>
      </c>
      <c r="D592" s="10" t="s">
        <v>14</v>
      </c>
      <c r="E592" s="10" t="s">
        <v>222</v>
      </c>
      <c r="F592" s="10" t="s">
        <v>22</v>
      </c>
      <c r="G592" s="15">
        <v>1</v>
      </c>
      <c r="H592" s="11">
        <v>2452.8096</v>
      </c>
      <c r="I592" s="12">
        <v>10</v>
      </c>
      <c r="J592" s="11">
        <v>2207.7178999999996</v>
      </c>
      <c r="K592" s="11">
        <v>1201.8009999999999</v>
      </c>
      <c r="L592" s="10" t="s">
        <v>17</v>
      </c>
      <c r="M592" s="5">
        <f t="shared" si="54"/>
        <v>2024</v>
      </c>
      <c r="N592" s="5">
        <f t="shared" si="55"/>
        <v>5</v>
      </c>
      <c r="O592" s="21">
        <f t="shared" si="56"/>
        <v>45413</v>
      </c>
      <c r="P592" s="13">
        <f t="shared" si="57"/>
        <v>0.54436348049721395</v>
      </c>
      <c r="Q592" s="5">
        <f t="shared" si="58"/>
        <v>202405</v>
      </c>
      <c r="R592" s="21">
        <f t="shared" si="59"/>
        <v>45413</v>
      </c>
    </row>
    <row r="593" spans="1:18" x14ac:dyDescent="0.25">
      <c r="A593" s="5" t="s">
        <v>1128</v>
      </c>
      <c r="B593" s="14">
        <v>45628</v>
      </c>
      <c r="C593" s="5" t="s">
        <v>1129</v>
      </c>
      <c r="D593" s="10" t="s">
        <v>42</v>
      </c>
      <c r="E593" s="10" t="s">
        <v>232</v>
      </c>
      <c r="F593" s="10" t="s">
        <v>22</v>
      </c>
      <c r="G593" s="15">
        <v>4</v>
      </c>
      <c r="H593" s="11">
        <v>4475.9989999999998</v>
      </c>
      <c r="I593" s="12">
        <v>5</v>
      </c>
      <c r="J593" s="11">
        <v>17008.796200000001</v>
      </c>
      <c r="K593" s="11">
        <v>8021.7850999999991</v>
      </c>
      <c r="L593" s="10" t="s">
        <v>23</v>
      </c>
      <c r="M593" s="5">
        <f t="shared" si="54"/>
        <v>2024</v>
      </c>
      <c r="N593" s="5">
        <f t="shared" si="55"/>
        <v>12</v>
      </c>
      <c r="O593" s="21">
        <f t="shared" si="56"/>
        <v>45627</v>
      </c>
      <c r="P593" s="13">
        <f t="shared" si="57"/>
        <v>0.47162568154000217</v>
      </c>
      <c r="Q593" s="5">
        <f t="shared" si="58"/>
        <v>202412</v>
      </c>
      <c r="R593" s="21">
        <f t="shared" si="59"/>
        <v>45627</v>
      </c>
    </row>
    <row r="594" spans="1:18" x14ac:dyDescent="0.25">
      <c r="A594" s="5" t="s">
        <v>1130</v>
      </c>
      <c r="B594" s="14">
        <v>45903</v>
      </c>
      <c r="C594" s="5" t="s">
        <v>1131</v>
      </c>
      <c r="D594" s="10" t="s">
        <v>14</v>
      </c>
      <c r="E594" s="10" t="s">
        <v>556</v>
      </c>
      <c r="F594" s="10" t="s">
        <v>49</v>
      </c>
      <c r="G594" s="15">
        <v>4</v>
      </c>
      <c r="H594" s="11">
        <v>3010.1802999999995</v>
      </c>
      <c r="I594" s="12">
        <v>10</v>
      </c>
      <c r="J594" s="11">
        <v>10837.027599999999</v>
      </c>
      <c r="K594" s="11">
        <v>5049.4567999999999</v>
      </c>
      <c r="L594" s="10" t="s">
        <v>34</v>
      </c>
      <c r="M594" s="5">
        <f t="shared" si="54"/>
        <v>2025</v>
      </c>
      <c r="N594" s="5">
        <f t="shared" si="55"/>
        <v>9</v>
      </c>
      <c r="O594" s="21">
        <f t="shared" si="56"/>
        <v>45901</v>
      </c>
      <c r="P594" s="13">
        <f t="shared" si="57"/>
        <v>0.46594481313307723</v>
      </c>
      <c r="Q594" s="5">
        <f t="shared" si="58"/>
        <v>202509</v>
      </c>
      <c r="R594" s="21">
        <f t="shared" si="59"/>
        <v>45901</v>
      </c>
    </row>
    <row r="595" spans="1:18" x14ac:dyDescent="0.25">
      <c r="A595" s="5" t="s">
        <v>1132</v>
      </c>
      <c r="B595" s="14">
        <v>45543</v>
      </c>
      <c r="C595" s="5" t="s">
        <v>1133</v>
      </c>
      <c r="D595" s="10" t="s">
        <v>14</v>
      </c>
      <c r="E595" s="10" t="s">
        <v>91</v>
      </c>
      <c r="F595" s="10" t="s">
        <v>49</v>
      </c>
      <c r="G595" s="15">
        <v>2</v>
      </c>
      <c r="H595" s="11">
        <v>4869.6597999999994</v>
      </c>
      <c r="I595" s="12">
        <v>0</v>
      </c>
      <c r="J595" s="11">
        <v>9739.3195999999989</v>
      </c>
      <c r="K595" s="11">
        <v>4585.7698</v>
      </c>
      <c r="L595" s="10" t="s">
        <v>17</v>
      </c>
      <c r="M595" s="5">
        <f t="shared" si="54"/>
        <v>2024</v>
      </c>
      <c r="N595" s="5">
        <f t="shared" si="55"/>
        <v>9</v>
      </c>
      <c r="O595" s="21">
        <f t="shared" si="56"/>
        <v>45536</v>
      </c>
      <c r="P595" s="13">
        <f t="shared" si="57"/>
        <v>0.47085114652157023</v>
      </c>
      <c r="Q595" s="5">
        <f t="shared" si="58"/>
        <v>202409</v>
      </c>
      <c r="R595" s="21">
        <f t="shared" si="59"/>
        <v>45536</v>
      </c>
    </row>
    <row r="596" spans="1:18" x14ac:dyDescent="0.25">
      <c r="A596" s="5" t="s">
        <v>1134</v>
      </c>
      <c r="B596" s="14">
        <v>45549</v>
      </c>
      <c r="C596" s="5" t="s">
        <v>1135</v>
      </c>
      <c r="D596" s="10" t="s">
        <v>14</v>
      </c>
      <c r="E596" s="10" t="s">
        <v>48</v>
      </c>
      <c r="F596" s="10" t="s">
        <v>49</v>
      </c>
      <c r="G596" s="15">
        <v>3</v>
      </c>
      <c r="H596" s="11">
        <v>3322.4593</v>
      </c>
      <c r="I596" s="12">
        <v>5</v>
      </c>
      <c r="J596" s="11">
        <v>9468.6777999999995</v>
      </c>
      <c r="K596" s="11">
        <v>4778.8149999999996</v>
      </c>
      <c r="L596" s="10" t="s">
        <v>17</v>
      </c>
      <c r="M596" s="5">
        <f t="shared" si="54"/>
        <v>2024</v>
      </c>
      <c r="N596" s="5">
        <f t="shared" si="55"/>
        <v>9</v>
      </c>
      <c r="O596" s="21">
        <f t="shared" si="56"/>
        <v>45536</v>
      </c>
      <c r="P596" s="13">
        <f t="shared" si="57"/>
        <v>0.50469718169098543</v>
      </c>
      <c r="Q596" s="5">
        <f t="shared" si="58"/>
        <v>202409</v>
      </c>
      <c r="R596" s="21">
        <f t="shared" si="59"/>
        <v>45536</v>
      </c>
    </row>
    <row r="597" spans="1:18" x14ac:dyDescent="0.25">
      <c r="A597" s="5" t="s">
        <v>1136</v>
      </c>
      <c r="B597" s="14">
        <v>45986</v>
      </c>
      <c r="C597" s="5" t="s">
        <v>349</v>
      </c>
      <c r="D597" s="10" t="s">
        <v>26</v>
      </c>
      <c r="E597" s="10" t="s">
        <v>43</v>
      </c>
      <c r="F597" s="10" t="s">
        <v>22</v>
      </c>
      <c r="G597" s="15">
        <v>2</v>
      </c>
      <c r="H597" s="11">
        <v>2856.8797</v>
      </c>
      <c r="I597" s="12">
        <v>0</v>
      </c>
      <c r="J597" s="11">
        <v>5713.7593999999999</v>
      </c>
      <c r="K597" s="11">
        <v>3238.2385999999997</v>
      </c>
      <c r="L597" s="10" t="s">
        <v>34</v>
      </c>
      <c r="M597" s="5">
        <f t="shared" si="54"/>
        <v>2025</v>
      </c>
      <c r="N597" s="5">
        <f t="shared" si="55"/>
        <v>11</v>
      </c>
      <c r="O597" s="21">
        <f t="shared" si="56"/>
        <v>45962</v>
      </c>
      <c r="P597" s="13">
        <f t="shared" si="57"/>
        <v>0.56674395495197083</v>
      </c>
      <c r="Q597" s="5">
        <f t="shared" si="58"/>
        <v>202511</v>
      </c>
      <c r="R597" s="21">
        <f t="shared" si="59"/>
        <v>45962</v>
      </c>
    </row>
    <row r="598" spans="1:18" x14ac:dyDescent="0.25">
      <c r="A598" s="5" t="s">
        <v>1137</v>
      </c>
      <c r="B598" s="14">
        <v>45364</v>
      </c>
      <c r="C598" s="5" t="s">
        <v>1138</v>
      </c>
      <c r="D598" s="10" t="s">
        <v>37</v>
      </c>
      <c r="E598" s="10" t="s">
        <v>38</v>
      </c>
      <c r="F598" s="10" t="s">
        <v>39</v>
      </c>
      <c r="G598" s="15">
        <v>2</v>
      </c>
      <c r="H598" s="11">
        <v>5373.0914000000002</v>
      </c>
      <c r="I598" s="12">
        <v>10</v>
      </c>
      <c r="J598" s="11">
        <v>9671.1859999999997</v>
      </c>
      <c r="K598" s="11">
        <v>2873.9130999999998</v>
      </c>
      <c r="L598" s="10" t="s">
        <v>23</v>
      </c>
      <c r="M598" s="5">
        <f t="shared" si="54"/>
        <v>2024</v>
      </c>
      <c r="N598" s="5">
        <f t="shared" si="55"/>
        <v>3</v>
      </c>
      <c r="O598" s="21">
        <f t="shared" si="56"/>
        <v>45352</v>
      </c>
      <c r="P598" s="13">
        <f t="shared" si="57"/>
        <v>0.29716242661448139</v>
      </c>
      <c r="Q598" s="5">
        <f t="shared" si="58"/>
        <v>202403</v>
      </c>
      <c r="R598" s="21">
        <f t="shared" si="59"/>
        <v>45352</v>
      </c>
    </row>
    <row r="599" spans="1:18" x14ac:dyDescent="0.25">
      <c r="A599" s="5" t="s">
        <v>1139</v>
      </c>
      <c r="B599" s="14">
        <v>45948</v>
      </c>
      <c r="C599" s="5" t="s">
        <v>394</v>
      </c>
      <c r="D599" s="10" t="s">
        <v>14</v>
      </c>
      <c r="E599" s="10" t="s">
        <v>88</v>
      </c>
      <c r="F599" s="10" t="s">
        <v>22</v>
      </c>
      <c r="G599" s="15">
        <v>4</v>
      </c>
      <c r="H599" s="11">
        <v>1517.8652</v>
      </c>
      <c r="I599" s="12">
        <v>5</v>
      </c>
      <c r="J599" s="11">
        <v>5767.6985000000004</v>
      </c>
      <c r="K599" s="11">
        <v>2877.6983</v>
      </c>
      <c r="L599" s="10" t="s">
        <v>23</v>
      </c>
      <c r="M599" s="5">
        <f t="shared" si="54"/>
        <v>2025</v>
      </c>
      <c r="N599" s="5">
        <f t="shared" si="55"/>
        <v>10</v>
      </c>
      <c r="O599" s="21">
        <f t="shared" si="56"/>
        <v>45931</v>
      </c>
      <c r="P599" s="13">
        <f t="shared" si="57"/>
        <v>0.49893355209187856</v>
      </c>
      <c r="Q599" s="5">
        <f t="shared" si="58"/>
        <v>202510</v>
      </c>
      <c r="R599" s="21">
        <f t="shared" si="59"/>
        <v>45931</v>
      </c>
    </row>
    <row r="600" spans="1:18" x14ac:dyDescent="0.25">
      <c r="A600" s="5" t="s">
        <v>1140</v>
      </c>
      <c r="B600" s="14">
        <v>45963</v>
      </c>
      <c r="C600" s="5" t="s">
        <v>1141</v>
      </c>
      <c r="D600" s="10" t="s">
        <v>26</v>
      </c>
      <c r="E600" s="10" t="s">
        <v>324</v>
      </c>
      <c r="F600" s="10" t="s">
        <v>16</v>
      </c>
      <c r="G600" s="15">
        <v>2</v>
      </c>
      <c r="H600" s="11">
        <v>7843.8806999999997</v>
      </c>
      <c r="I600" s="12">
        <v>10</v>
      </c>
      <c r="J600" s="11">
        <v>14118.795999999998</v>
      </c>
      <c r="K600" s="11">
        <v>2869.1815999999999</v>
      </c>
      <c r="L600" s="10" t="s">
        <v>23</v>
      </c>
      <c r="M600" s="5">
        <f t="shared" si="54"/>
        <v>2025</v>
      </c>
      <c r="N600" s="5">
        <f t="shared" si="55"/>
        <v>11</v>
      </c>
      <c r="O600" s="21">
        <f t="shared" si="56"/>
        <v>45962</v>
      </c>
      <c r="P600" s="13">
        <f t="shared" si="57"/>
        <v>0.20321715817694372</v>
      </c>
      <c r="Q600" s="5">
        <f t="shared" si="58"/>
        <v>202511</v>
      </c>
      <c r="R600" s="21">
        <f t="shared" si="59"/>
        <v>45962</v>
      </c>
    </row>
    <row r="601" spans="1:18" x14ac:dyDescent="0.25">
      <c r="A601" s="5" t="s">
        <v>1142</v>
      </c>
      <c r="B601" s="14">
        <v>45384</v>
      </c>
      <c r="C601" s="5" t="s">
        <v>1143</v>
      </c>
      <c r="D601" s="10" t="s">
        <v>26</v>
      </c>
      <c r="E601" s="10" t="s">
        <v>91</v>
      </c>
      <c r="F601" s="10" t="s">
        <v>49</v>
      </c>
      <c r="G601" s="15">
        <v>1</v>
      </c>
      <c r="H601" s="11">
        <v>3894.9707999999996</v>
      </c>
      <c r="I601" s="12">
        <v>0</v>
      </c>
      <c r="J601" s="11">
        <v>3894.9707999999996</v>
      </c>
      <c r="K601" s="11">
        <v>1775.2588000000001</v>
      </c>
      <c r="L601" s="10" t="s">
        <v>17</v>
      </c>
      <c r="M601" s="5">
        <f t="shared" si="54"/>
        <v>2024</v>
      </c>
      <c r="N601" s="5">
        <f t="shared" si="55"/>
        <v>4</v>
      </c>
      <c r="O601" s="21">
        <f t="shared" si="56"/>
        <v>45383</v>
      </c>
      <c r="P601" s="13">
        <f t="shared" si="57"/>
        <v>0.45578231292517013</v>
      </c>
      <c r="Q601" s="5">
        <f t="shared" si="58"/>
        <v>202404</v>
      </c>
      <c r="R601" s="21">
        <f t="shared" si="59"/>
        <v>45383</v>
      </c>
    </row>
    <row r="602" spans="1:18" x14ac:dyDescent="0.25">
      <c r="A602" s="5" t="s">
        <v>1144</v>
      </c>
      <c r="B602" s="14">
        <v>45580</v>
      </c>
      <c r="C602" s="5" t="s">
        <v>340</v>
      </c>
      <c r="D602" s="10" t="s">
        <v>14</v>
      </c>
      <c r="E602" s="10" t="s">
        <v>52</v>
      </c>
      <c r="F602" s="10" t="s">
        <v>39</v>
      </c>
      <c r="G602" s="15">
        <v>3</v>
      </c>
      <c r="H602" s="11">
        <v>2480.2523000000001</v>
      </c>
      <c r="I602" s="12">
        <v>20</v>
      </c>
      <c r="J602" s="11">
        <v>5952.2269999999999</v>
      </c>
      <c r="K602" s="11">
        <v>2183.1140999999998</v>
      </c>
      <c r="L602" s="10" t="s">
        <v>23</v>
      </c>
      <c r="M602" s="5">
        <f t="shared" si="54"/>
        <v>2024</v>
      </c>
      <c r="N602" s="5">
        <f t="shared" si="55"/>
        <v>10</v>
      </c>
      <c r="O602" s="21">
        <f t="shared" si="56"/>
        <v>45566</v>
      </c>
      <c r="P602" s="13">
        <f t="shared" si="57"/>
        <v>0.36677265500794909</v>
      </c>
      <c r="Q602" s="5">
        <f t="shared" si="58"/>
        <v>202410</v>
      </c>
      <c r="R602" s="21">
        <f t="shared" si="59"/>
        <v>45566</v>
      </c>
    </row>
    <row r="603" spans="1:18" x14ac:dyDescent="0.25">
      <c r="A603" s="5" t="s">
        <v>1145</v>
      </c>
      <c r="B603" s="14">
        <v>45890</v>
      </c>
      <c r="C603" s="5" t="s">
        <v>1146</v>
      </c>
      <c r="D603" s="10" t="s">
        <v>42</v>
      </c>
      <c r="E603" s="10" t="s">
        <v>148</v>
      </c>
      <c r="F603" s="10" t="s">
        <v>16</v>
      </c>
      <c r="G603" s="15">
        <v>1</v>
      </c>
      <c r="H603" s="11">
        <v>13493.2917</v>
      </c>
      <c r="I603" s="12">
        <v>10</v>
      </c>
      <c r="J603" s="11">
        <v>12143.867900000001</v>
      </c>
      <c r="K603" s="11">
        <v>2214.3419999999996</v>
      </c>
      <c r="L603" s="10" t="s">
        <v>17</v>
      </c>
      <c r="M603" s="5">
        <f t="shared" si="54"/>
        <v>2025</v>
      </c>
      <c r="N603" s="5">
        <f t="shared" si="55"/>
        <v>8</v>
      </c>
      <c r="O603" s="21">
        <f t="shared" si="56"/>
        <v>45870</v>
      </c>
      <c r="P603" s="13">
        <f t="shared" si="57"/>
        <v>0.18234239850385719</v>
      </c>
      <c r="Q603" s="5">
        <f t="shared" si="58"/>
        <v>202508</v>
      </c>
      <c r="R603" s="21">
        <f t="shared" si="59"/>
        <v>45870</v>
      </c>
    </row>
    <row r="604" spans="1:18" x14ac:dyDescent="0.25">
      <c r="A604" s="5" t="s">
        <v>1147</v>
      </c>
      <c r="B604" s="14">
        <v>45972</v>
      </c>
      <c r="C604" s="5" t="s">
        <v>330</v>
      </c>
      <c r="D604" s="10" t="s">
        <v>14</v>
      </c>
      <c r="E604" s="10" t="s">
        <v>43</v>
      </c>
      <c r="F604" s="10" t="s">
        <v>22</v>
      </c>
      <c r="G604" s="15">
        <v>1</v>
      </c>
      <c r="H604" s="11">
        <v>3683.9458999999997</v>
      </c>
      <c r="I604" s="12">
        <v>15</v>
      </c>
      <c r="J604" s="11">
        <v>3131.3067000000001</v>
      </c>
      <c r="K604" s="11">
        <v>1903.0092999999999</v>
      </c>
      <c r="L604" s="10" t="s">
        <v>17</v>
      </c>
      <c r="M604" s="5">
        <f t="shared" si="54"/>
        <v>2025</v>
      </c>
      <c r="N604" s="5">
        <f t="shared" si="55"/>
        <v>11</v>
      </c>
      <c r="O604" s="21">
        <f t="shared" si="56"/>
        <v>45962</v>
      </c>
      <c r="P604" s="13">
        <f t="shared" si="57"/>
        <v>0.6077364762768207</v>
      </c>
      <c r="Q604" s="5">
        <f t="shared" si="58"/>
        <v>202511</v>
      </c>
      <c r="R604" s="21">
        <f t="shared" si="59"/>
        <v>45962</v>
      </c>
    </row>
    <row r="605" spans="1:18" x14ac:dyDescent="0.25">
      <c r="A605" s="5" t="s">
        <v>1148</v>
      </c>
      <c r="B605" s="14">
        <v>45316</v>
      </c>
      <c r="C605" s="5" t="s">
        <v>1149</v>
      </c>
      <c r="D605" s="10" t="s">
        <v>42</v>
      </c>
      <c r="E605" s="10" t="s">
        <v>94</v>
      </c>
      <c r="F605" s="10" t="s">
        <v>75</v>
      </c>
      <c r="G605" s="15">
        <v>1</v>
      </c>
      <c r="H605" s="11">
        <v>2837.0074</v>
      </c>
      <c r="I605" s="12">
        <v>5</v>
      </c>
      <c r="J605" s="11">
        <v>2695.0623999999998</v>
      </c>
      <c r="K605" s="11">
        <v>639.69880000000001</v>
      </c>
      <c r="L605" s="10" t="s">
        <v>17</v>
      </c>
      <c r="M605" s="5">
        <f t="shared" si="54"/>
        <v>2024</v>
      </c>
      <c r="N605" s="5">
        <f t="shared" si="55"/>
        <v>1</v>
      </c>
      <c r="O605" s="21">
        <f t="shared" si="56"/>
        <v>45292</v>
      </c>
      <c r="P605" s="13">
        <f t="shared" si="57"/>
        <v>0.23735955056179778</v>
      </c>
      <c r="Q605" s="5">
        <f t="shared" si="58"/>
        <v>202401</v>
      </c>
      <c r="R605" s="21">
        <f t="shared" si="59"/>
        <v>45292</v>
      </c>
    </row>
    <row r="606" spans="1:18" x14ac:dyDescent="0.25">
      <c r="A606" s="5" t="s">
        <v>1150</v>
      </c>
      <c r="B606" s="14">
        <v>45454</v>
      </c>
      <c r="C606" s="5" t="s">
        <v>1151</v>
      </c>
      <c r="D606" s="10" t="s">
        <v>14</v>
      </c>
      <c r="E606" s="10" t="s">
        <v>91</v>
      </c>
      <c r="F606" s="10" t="s">
        <v>49</v>
      </c>
      <c r="G606" s="15">
        <v>3</v>
      </c>
      <c r="H606" s="11">
        <v>3334.7611999999999</v>
      </c>
      <c r="I606" s="12">
        <v>10</v>
      </c>
      <c r="J606" s="11">
        <v>9004.0445</v>
      </c>
      <c r="K606" s="11">
        <v>3152.1253000000002</v>
      </c>
      <c r="L606" s="10" t="s">
        <v>23</v>
      </c>
      <c r="M606" s="5">
        <f t="shared" si="54"/>
        <v>2024</v>
      </c>
      <c r="N606" s="5">
        <f t="shared" si="55"/>
        <v>6</v>
      </c>
      <c r="O606" s="21">
        <f t="shared" si="56"/>
        <v>45444</v>
      </c>
      <c r="P606" s="13">
        <f t="shared" si="57"/>
        <v>0.35007882291119286</v>
      </c>
      <c r="Q606" s="5">
        <f t="shared" si="58"/>
        <v>202406</v>
      </c>
      <c r="R606" s="21">
        <f t="shared" si="59"/>
        <v>45444</v>
      </c>
    </row>
    <row r="607" spans="1:18" x14ac:dyDescent="0.25">
      <c r="A607" s="5" t="s">
        <v>1152</v>
      </c>
      <c r="B607" s="14">
        <v>45957</v>
      </c>
      <c r="C607" s="5" t="s">
        <v>349</v>
      </c>
      <c r="D607" s="10" t="s">
        <v>37</v>
      </c>
      <c r="E607" s="10" t="s">
        <v>232</v>
      </c>
      <c r="F607" s="10" t="s">
        <v>22</v>
      </c>
      <c r="G607" s="15">
        <v>2</v>
      </c>
      <c r="H607" s="11">
        <v>2927.8521999999998</v>
      </c>
      <c r="I607" s="12">
        <v>0</v>
      </c>
      <c r="J607" s="11">
        <v>5855.7043999999996</v>
      </c>
      <c r="K607" s="11">
        <v>2944.8856000000001</v>
      </c>
      <c r="L607" s="10" t="s">
        <v>17</v>
      </c>
      <c r="M607" s="5">
        <f t="shared" si="54"/>
        <v>2025</v>
      </c>
      <c r="N607" s="5">
        <f t="shared" si="55"/>
        <v>10</v>
      </c>
      <c r="O607" s="21">
        <f t="shared" si="56"/>
        <v>45931</v>
      </c>
      <c r="P607" s="13">
        <f t="shared" si="57"/>
        <v>0.50290885585003231</v>
      </c>
      <c r="Q607" s="5">
        <f t="shared" si="58"/>
        <v>202510</v>
      </c>
      <c r="R607" s="21">
        <f t="shared" si="59"/>
        <v>45931</v>
      </c>
    </row>
    <row r="608" spans="1:18" x14ac:dyDescent="0.25">
      <c r="A608" s="5" t="s">
        <v>1153</v>
      </c>
      <c r="B608" s="14">
        <v>45414</v>
      </c>
      <c r="C608" s="5" t="s">
        <v>369</v>
      </c>
      <c r="D608" s="10" t="s">
        <v>42</v>
      </c>
      <c r="E608" s="10" t="s">
        <v>141</v>
      </c>
      <c r="F608" s="10" t="s">
        <v>16</v>
      </c>
      <c r="G608" s="15">
        <v>2</v>
      </c>
      <c r="H608" s="11">
        <v>13774.3428</v>
      </c>
      <c r="I608" s="12">
        <v>0</v>
      </c>
      <c r="J608" s="11">
        <v>27548.685600000001</v>
      </c>
      <c r="K608" s="11">
        <v>4125.8679999999995</v>
      </c>
      <c r="L608" s="10" t="s">
        <v>23</v>
      </c>
      <c r="M608" s="5">
        <f t="shared" si="54"/>
        <v>2024</v>
      </c>
      <c r="N608" s="5">
        <f t="shared" si="55"/>
        <v>5</v>
      </c>
      <c r="O608" s="21">
        <f t="shared" si="56"/>
        <v>45413</v>
      </c>
      <c r="P608" s="13">
        <f t="shared" si="57"/>
        <v>0.14976641934597415</v>
      </c>
      <c r="Q608" s="5">
        <f t="shared" si="58"/>
        <v>202405</v>
      </c>
      <c r="R608" s="21">
        <f t="shared" si="59"/>
        <v>45413</v>
      </c>
    </row>
    <row r="609" spans="1:18" x14ac:dyDescent="0.25">
      <c r="A609" s="5" t="s">
        <v>1154</v>
      </c>
      <c r="B609" s="14">
        <v>45615</v>
      </c>
      <c r="C609" s="5" t="s">
        <v>852</v>
      </c>
      <c r="D609" s="10" t="s">
        <v>26</v>
      </c>
      <c r="E609" s="10" t="s">
        <v>269</v>
      </c>
      <c r="F609" s="10" t="s">
        <v>75</v>
      </c>
      <c r="G609" s="15">
        <v>1</v>
      </c>
      <c r="H609" s="11">
        <v>2043.0617</v>
      </c>
      <c r="I609" s="12">
        <v>0</v>
      </c>
      <c r="J609" s="11">
        <v>2043.0617</v>
      </c>
      <c r="K609" s="11">
        <v>355.80879999999996</v>
      </c>
      <c r="L609" s="10" t="s">
        <v>17</v>
      </c>
      <c r="M609" s="5">
        <f t="shared" si="54"/>
        <v>2024</v>
      </c>
      <c r="N609" s="5">
        <f t="shared" si="55"/>
        <v>11</v>
      </c>
      <c r="O609" s="21">
        <f t="shared" si="56"/>
        <v>45597</v>
      </c>
      <c r="P609" s="13">
        <f t="shared" si="57"/>
        <v>0.17415470125057897</v>
      </c>
      <c r="Q609" s="5">
        <f t="shared" si="58"/>
        <v>202411</v>
      </c>
      <c r="R609" s="21">
        <f t="shared" si="59"/>
        <v>45597</v>
      </c>
    </row>
    <row r="610" spans="1:18" x14ac:dyDescent="0.25">
      <c r="A610" s="5" t="s">
        <v>1155</v>
      </c>
      <c r="B610" s="14">
        <v>45972</v>
      </c>
      <c r="C610" s="5" t="s">
        <v>19</v>
      </c>
      <c r="D610" s="10" t="s">
        <v>26</v>
      </c>
      <c r="E610" s="10" t="s">
        <v>227</v>
      </c>
      <c r="F610" s="10" t="s">
        <v>39</v>
      </c>
      <c r="G610" s="15">
        <v>2</v>
      </c>
      <c r="H610" s="11">
        <v>1994.8003999999999</v>
      </c>
      <c r="I610" s="12">
        <v>5</v>
      </c>
      <c r="J610" s="11">
        <v>3789.9314999999997</v>
      </c>
      <c r="K610" s="11">
        <v>763.66409999999996</v>
      </c>
      <c r="L610" s="10" t="s">
        <v>17</v>
      </c>
      <c r="M610" s="5">
        <f t="shared" si="54"/>
        <v>2025</v>
      </c>
      <c r="N610" s="5">
        <f t="shared" si="55"/>
        <v>11</v>
      </c>
      <c r="O610" s="21">
        <f t="shared" si="56"/>
        <v>45962</v>
      </c>
      <c r="P610" s="13">
        <f t="shared" si="57"/>
        <v>0.20149812734082398</v>
      </c>
      <c r="Q610" s="5">
        <f t="shared" si="58"/>
        <v>202511</v>
      </c>
      <c r="R610" s="21">
        <f t="shared" si="59"/>
        <v>45962</v>
      </c>
    </row>
    <row r="611" spans="1:18" x14ac:dyDescent="0.25">
      <c r="A611" s="5" t="s">
        <v>1156</v>
      </c>
      <c r="B611" s="14">
        <v>45312</v>
      </c>
      <c r="C611" s="5" t="s">
        <v>779</v>
      </c>
      <c r="D611" s="10" t="s">
        <v>14</v>
      </c>
      <c r="E611" s="10" t="s">
        <v>48</v>
      </c>
      <c r="F611" s="10" t="s">
        <v>49</v>
      </c>
      <c r="G611" s="15">
        <v>4</v>
      </c>
      <c r="H611" s="11">
        <v>5303.0652</v>
      </c>
      <c r="I611" s="12">
        <v>10</v>
      </c>
      <c r="J611" s="11">
        <v>19090.656200000001</v>
      </c>
      <c r="K611" s="11">
        <v>7000.7273999999998</v>
      </c>
      <c r="L611" s="10" t="s">
        <v>23</v>
      </c>
      <c r="M611" s="5">
        <f t="shared" si="54"/>
        <v>2024</v>
      </c>
      <c r="N611" s="5">
        <f t="shared" si="55"/>
        <v>1</v>
      </c>
      <c r="O611" s="21">
        <f t="shared" si="56"/>
        <v>45292</v>
      </c>
      <c r="P611" s="13">
        <f t="shared" si="57"/>
        <v>0.36670962625161097</v>
      </c>
      <c r="Q611" s="5">
        <f t="shared" si="58"/>
        <v>202401</v>
      </c>
      <c r="R611" s="21">
        <f t="shared" si="59"/>
        <v>45292</v>
      </c>
    </row>
    <row r="612" spans="1:18" x14ac:dyDescent="0.25">
      <c r="A612" s="5" t="s">
        <v>1157</v>
      </c>
      <c r="B612" s="14">
        <v>45487</v>
      </c>
      <c r="C612" s="5" t="s">
        <v>1158</v>
      </c>
      <c r="D612" s="10" t="s">
        <v>26</v>
      </c>
      <c r="E612" s="10" t="s">
        <v>211</v>
      </c>
      <c r="F612" s="10" t="s">
        <v>39</v>
      </c>
      <c r="G612" s="15">
        <v>1</v>
      </c>
      <c r="H612" s="11">
        <v>1467.7112999999999</v>
      </c>
      <c r="I612" s="12">
        <v>20</v>
      </c>
      <c r="J612" s="11">
        <v>1174.3582999999999</v>
      </c>
      <c r="K612" s="11">
        <v>453.27769999999998</v>
      </c>
      <c r="L612" s="10" t="s">
        <v>34</v>
      </c>
      <c r="M612" s="5">
        <f t="shared" si="54"/>
        <v>2024</v>
      </c>
      <c r="N612" s="5">
        <f t="shared" si="55"/>
        <v>7</v>
      </c>
      <c r="O612" s="21">
        <f t="shared" si="56"/>
        <v>45474</v>
      </c>
      <c r="P612" s="13">
        <f t="shared" si="57"/>
        <v>0.38597904915390818</v>
      </c>
      <c r="Q612" s="5">
        <f t="shared" si="58"/>
        <v>202407</v>
      </c>
      <c r="R612" s="21">
        <f t="shared" si="59"/>
        <v>45474</v>
      </c>
    </row>
    <row r="613" spans="1:18" x14ac:dyDescent="0.25">
      <c r="A613" s="5" t="s">
        <v>1159</v>
      </c>
      <c r="B613" s="14">
        <v>45365</v>
      </c>
      <c r="C613" s="5" t="s">
        <v>588</v>
      </c>
      <c r="D613" s="10" t="s">
        <v>14</v>
      </c>
      <c r="E613" s="10" t="s">
        <v>286</v>
      </c>
      <c r="F613" s="10" t="s">
        <v>39</v>
      </c>
      <c r="G613" s="15">
        <v>2</v>
      </c>
      <c r="H613" s="11">
        <v>6183.1242000000002</v>
      </c>
      <c r="I613" s="12">
        <v>15</v>
      </c>
      <c r="J613" s="11">
        <v>10511.500399999999</v>
      </c>
      <c r="K613" s="11">
        <v>3997.1711999999998</v>
      </c>
      <c r="L613" s="10" t="s">
        <v>23</v>
      </c>
      <c r="M613" s="5">
        <f t="shared" si="54"/>
        <v>2024</v>
      </c>
      <c r="N613" s="5">
        <f t="shared" si="55"/>
        <v>3</v>
      </c>
      <c r="O613" s="21">
        <f t="shared" si="56"/>
        <v>45352</v>
      </c>
      <c r="P613" s="13">
        <f t="shared" si="57"/>
        <v>0.38026647461289165</v>
      </c>
      <c r="Q613" s="5">
        <f t="shared" si="58"/>
        <v>202403</v>
      </c>
      <c r="R613" s="21">
        <f t="shared" si="59"/>
        <v>45352</v>
      </c>
    </row>
    <row r="614" spans="1:18" x14ac:dyDescent="0.25">
      <c r="A614" s="5" t="s">
        <v>1160</v>
      </c>
      <c r="B614" s="14">
        <v>45753</v>
      </c>
      <c r="C614" s="5" t="s">
        <v>394</v>
      </c>
      <c r="D614" s="10" t="s">
        <v>37</v>
      </c>
      <c r="E614" s="10" t="s">
        <v>214</v>
      </c>
      <c r="F614" s="10" t="s">
        <v>49</v>
      </c>
      <c r="G614" s="15">
        <v>4</v>
      </c>
      <c r="H614" s="11">
        <v>3296.9092000000001</v>
      </c>
      <c r="I614" s="12">
        <v>0</v>
      </c>
      <c r="J614" s="11">
        <v>13187.6368</v>
      </c>
      <c r="K614" s="11">
        <v>4896.1562000000004</v>
      </c>
      <c r="L614" s="10" t="s">
        <v>23</v>
      </c>
      <c r="M614" s="5">
        <f t="shared" si="54"/>
        <v>2025</v>
      </c>
      <c r="N614" s="5">
        <f t="shared" si="55"/>
        <v>4</v>
      </c>
      <c r="O614" s="21">
        <f t="shared" si="56"/>
        <v>45748</v>
      </c>
      <c r="P614" s="13">
        <f t="shared" si="57"/>
        <v>0.37126865671641796</v>
      </c>
      <c r="Q614" s="5">
        <f t="shared" si="58"/>
        <v>202504</v>
      </c>
      <c r="R614" s="21">
        <f t="shared" si="59"/>
        <v>45748</v>
      </c>
    </row>
    <row r="615" spans="1:18" x14ac:dyDescent="0.25">
      <c r="A615" s="5" t="s">
        <v>1161</v>
      </c>
      <c r="B615" s="14">
        <v>45693</v>
      </c>
      <c r="C615" s="5" t="s">
        <v>1162</v>
      </c>
      <c r="D615" s="10" t="s">
        <v>42</v>
      </c>
      <c r="E615" s="10" t="s">
        <v>291</v>
      </c>
      <c r="F615" s="10" t="s">
        <v>22</v>
      </c>
      <c r="G615" s="15">
        <v>3</v>
      </c>
      <c r="H615" s="11">
        <v>1970.1966</v>
      </c>
      <c r="I615" s="12">
        <v>10</v>
      </c>
      <c r="J615" s="11">
        <v>5319.1522999999997</v>
      </c>
      <c r="K615" s="11">
        <v>2736.6995999999999</v>
      </c>
      <c r="L615" s="10" t="s">
        <v>17</v>
      </c>
      <c r="M615" s="5">
        <f t="shared" si="54"/>
        <v>2025</v>
      </c>
      <c r="N615" s="5">
        <f t="shared" si="55"/>
        <v>2</v>
      </c>
      <c r="O615" s="21">
        <f t="shared" si="56"/>
        <v>45689</v>
      </c>
      <c r="P615" s="13">
        <f t="shared" si="57"/>
        <v>0.51449919943070632</v>
      </c>
      <c r="Q615" s="5">
        <f t="shared" si="58"/>
        <v>202502</v>
      </c>
      <c r="R615" s="21">
        <f t="shared" si="59"/>
        <v>45689</v>
      </c>
    </row>
    <row r="616" spans="1:18" x14ac:dyDescent="0.25">
      <c r="A616" s="5" t="s">
        <v>1163</v>
      </c>
      <c r="B616" s="14">
        <v>45520</v>
      </c>
      <c r="C616" s="5" t="s">
        <v>66</v>
      </c>
      <c r="D616" s="10" t="s">
        <v>42</v>
      </c>
      <c r="E616" s="10" t="s">
        <v>52</v>
      </c>
      <c r="F616" s="10" t="s">
        <v>39</v>
      </c>
      <c r="G616" s="15">
        <v>1</v>
      </c>
      <c r="H616" s="11">
        <v>5517.8752999999997</v>
      </c>
      <c r="I616" s="12">
        <v>10</v>
      </c>
      <c r="J616" s="11">
        <v>4966.1823999999997</v>
      </c>
      <c r="K616" s="11">
        <v>1655.0786999999998</v>
      </c>
      <c r="L616" s="10" t="s">
        <v>17</v>
      </c>
      <c r="M616" s="5">
        <f t="shared" si="54"/>
        <v>2024</v>
      </c>
      <c r="N616" s="5">
        <f t="shared" si="55"/>
        <v>8</v>
      </c>
      <c r="O616" s="21">
        <f t="shared" si="56"/>
        <v>45505</v>
      </c>
      <c r="P616" s="13">
        <f t="shared" si="57"/>
        <v>0.33326981707317072</v>
      </c>
      <c r="Q616" s="5">
        <f t="shared" si="58"/>
        <v>202408</v>
      </c>
      <c r="R616" s="21">
        <f t="shared" si="59"/>
        <v>45505</v>
      </c>
    </row>
    <row r="617" spans="1:18" x14ac:dyDescent="0.25">
      <c r="A617" s="5" t="s">
        <v>1164</v>
      </c>
      <c r="B617" s="14">
        <v>45505</v>
      </c>
      <c r="C617" s="5" t="s">
        <v>402</v>
      </c>
      <c r="D617" s="10" t="s">
        <v>14</v>
      </c>
      <c r="E617" s="10" t="s">
        <v>154</v>
      </c>
      <c r="F617" s="10" t="s">
        <v>39</v>
      </c>
      <c r="G617" s="15">
        <v>2</v>
      </c>
      <c r="H617" s="11">
        <v>2663.8344999999999</v>
      </c>
      <c r="I617" s="12">
        <v>10</v>
      </c>
      <c r="J617" s="11">
        <v>4794.9021000000002</v>
      </c>
      <c r="K617" s="11">
        <v>1113.7950999999998</v>
      </c>
      <c r="L617" s="10" t="s">
        <v>17</v>
      </c>
      <c r="M617" s="5">
        <f t="shared" si="54"/>
        <v>2024</v>
      </c>
      <c r="N617" s="5">
        <f t="shared" si="55"/>
        <v>8</v>
      </c>
      <c r="O617" s="21">
        <f t="shared" si="56"/>
        <v>45505</v>
      </c>
      <c r="P617" s="13">
        <f t="shared" si="57"/>
        <v>0.23228734951647914</v>
      </c>
      <c r="Q617" s="5">
        <f t="shared" si="58"/>
        <v>202408</v>
      </c>
      <c r="R617" s="21">
        <f t="shared" si="59"/>
        <v>45505</v>
      </c>
    </row>
    <row r="618" spans="1:18" x14ac:dyDescent="0.25">
      <c r="A618" s="5" t="s">
        <v>1165</v>
      </c>
      <c r="B618" s="14">
        <v>45420</v>
      </c>
      <c r="C618" s="5" t="s">
        <v>1166</v>
      </c>
      <c r="D618" s="10" t="s">
        <v>37</v>
      </c>
      <c r="E618" s="10" t="s">
        <v>177</v>
      </c>
      <c r="F618" s="10" t="s">
        <v>49</v>
      </c>
      <c r="G618" s="15">
        <v>1</v>
      </c>
      <c r="H618" s="11">
        <v>6898.527</v>
      </c>
      <c r="I618" s="12">
        <v>0</v>
      </c>
      <c r="J618" s="11">
        <v>6898.527</v>
      </c>
      <c r="K618" s="11">
        <v>2226.6439</v>
      </c>
      <c r="L618" s="10" t="s">
        <v>23</v>
      </c>
      <c r="M618" s="5">
        <f t="shared" si="54"/>
        <v>2024</v>
      </c>
      <c r="N618" s="5">
        <f t="shared" si="55"/>
        <v>5</v>
      </c>
      <c r="O618" s="21">
        <f t="shared" si="56"/>
        <v>45413</v>
      </c>
      <c r="P618" s="13">
        <f t="shared" si="57"/>
        <v>0.32277091906721539</v>
      </c>
      <c r="Q618" s="5">
        <f t="shared" si="58"/>
        <v>202405</v>
      </c>
      <c r="R618" s="21">
        <f t="shared" si="59"/>
        <v>45413</v>
      </c>
    </row>
    <row r="619" spans="1:18" x14ac:dyDescent="0.25">
      <c r="A619" s="5" t="s">
        <v>1167</v>
      </c>
      <c r="B619" s="14">
        <v>45500</v>
      </c>
      <c r="C619" s="5" t="s">
        <v>1168</v>
      </c>
      <c r="D619" s="10" t="s">
        <v>20</v>
      </c>
      <c r="E619" s="10" t="s">
        <v>108</v>
      </c>
      <c r="F619" s="10" t="s">
        <v>75</v>
      </c>
      <c r="G619" s="15">
        <v>1</v>
      </c>
      <c r="H619" s="11">
        <v>1108.1173000000001</v>
      </c>
      <c r="I619" s="12">
        <v>5</v>
      </c>
      <c r="J619" s="11">
        <v>1052.2855999999999</v>
      </c>
      <c r="K619" s="11">
        <v>293.35300000000001</v>
      </c>
      <c r="L619" s="10" t="s">
        <v>34</v>
      </c>
      <c r="M619" s="5">
        <f t="shared" si="54"/>
        <v>2024</v>
      </c>
      <c r="N619" s="5">
        <f t="shared" si="55"/>
        <v>7</v>
      </c>
      <c r="O619" s="21">
        <f t="shared" si="56"/>
        <v>45474</v>
      </c>
      <c r="P619" s="13">
        <f t="shared" si="57"/>
        <v>0.27877697841726623</v>
      </c>
      <c r="Q619" s="5">
        <f t="shared" si="58"/>
        <v>202407</v>
      </c>
      <c r="R619" s="21">
        <f t="shared" si="59"/>
        <v>45474</v>
      </c>
    </row>
    <row r="620" spans="1:18" x14ac:dyDescent="0.25">
      <c r="A620" s="5" t="s">
        <v>1169</v>
      </c>
      <c r="B620" s="14">
        <v>45758</v>
      </c>
      <c r="C620" s="5" t="s">
        <v>1170</v>
      </c>
      <c r="D620" s="10" t="s">
        <v>26</v>
      </c>
      <c r="E620" s="10" t="s">
        <v>148</v>
      </c>
      <c r="F620" s="10" t="s">
        <v>16</v>
      </c>
      <c r="G620" s="15">
        <v>3</v>
      </c>
      <c r="H620" s="11">
        <v>5064.5976000000001</v>
      </c>
      <c r="I620" s="12">
        <v>25</v>
      </c>
      <c r="J620" s="11">
        <v>11395.3446</v>
      </c>
      <c r="K620" s="11">
        <v>1258.579</v>
      </c>
      <c r="L620" s="10" t="s">
        <v>17</v>
      </c>
      <c r="M620" s="5">
        <f t="shared" si="54"/>
        <v>2025</v>
      </c>
      <c r="N620" s="5">
        <f t="shared" si="55"/>
        <v>4</v>
      </c>
      <c r="O620" s="21">
        <f t="shared" si="56"/>
        <v>45748</v>
      </c>
      <c r="P620" s="13">
        <f t="shared" si="57"/>
        <v>0.11044676963959474</v>
      </c>
      <c r="Q620" s="5">
        <f t="shared" si="58"/>
        <v>202504</v>
      </c>
      <c r="R620" s="21">
        <f t="shared" si="59"/>
        <v>45748</v>
      </c>
    </row>
    <row r="621" spans="1:18" x14ac:dyDescent="0.25">
      <c r="A621" s="5" t="s">
        <v>1171</v>
      </c>
      <c r="B621" s="14">
        <v>45937</v>
      </c>
      <c r="C621" s="5" t="s">
        <v>1172</v>
      </c>
      <c r="D621" s="10" t="s">
        <v>26</v>
      </c>
      <c r="E621" s="10" t="s">
        <v>33</v>
      </c>
      <c r="F621" s="10" t="s">
        <v>16</v>
      </c>
      <c r="G621" s="15">
        <v>1</v>
      </c>
      <c r="H621" s="11">
        <v>13915.3415</v>
      </c>
      <c r="I621" s="12">
        <v>5</v>
      </c>
      <c r="J621" s="11">
        <v>13219.810999999998</v>
      </c>
      <c r="K621" s="11">
        <v>3101.0251000000003</v>
      </c>
      <c r="L621" s="10" t="s">
        <v>17</v>
      </c>
      <c r="M621" s="5">
        <f t="shared" si="54"/>
        <v>2025</v>
      </c>
      <c r="N621" s="5">
        <f t="shared" si="55"/>
        <v>10</v>
      </c>
      <c r="O621" s="21">
        <f t="shared" si="56"/>
        <v>45931</v>
      </c>
      <c r="P621" s="13">
        <f t="shared" si="57"/>
        <v>0.23457408732999291</v>
      </c>
      <c r="Q621" s="5">
        <f t="shared" si="58"/>
        <v>202510</v>
      </c>
      <c r="R621" s="21">
        <f t="shared" si="59"/>
        <v>45931</v>
      </c>
    </row>
    <row r="622" spans="1:18" x14ac:dyDescent="0.25">
      <c r="A622" s="5" t="s">
        <v>1173</v>
      </c>
      <c r="B622" s="14">
        <v>45735</v>
      </c>
      <c r="C622" s="5" t="s">
        <v>801</v>
      </c>
      <c r="D622" s="10" t="s">
        <v>20</v>
      </c>
      <c r="E622" s="10" t="s">
        <v>15</v>
      </c>
      <c r="F622" s="10" t="s">
        <v>16</v>
      </c>
      <c r="G622" s="15">
        <v>1</v>
      </c>
      <c r="H622" s="11">
        <v>2696.9549999999999</v>
      </c>
      <c r="I622" s="12">
        <v>5</v>
      </c>
      <c r="J622" s="11">
        <v>2562.5803999999998</v>
      </c>
      <c r="K622" s="11">
        <v>261.17879999999997</v>
      </c>
      <c r="L622" s="10" t="s">
        <v>17</v>
      </c>
      <c r="M622" s="5">
        <f t="shared" si="54"/>
        <v>2025</v>
      </c>
      <c r="N622" s="5">
        <f t="shared" si="55"/>
        <v>3</v>
      </c>
      <c r="O622" s="21">
        <f t="shared" si="56"/>
        <v>45717</v>
      </c>
      <c r="P622" s="13">
        <f t="shared" si="57"/>
        <v>0.10192023633677991</v>
      </c>
      <c r="Q622" s="5">
        <f t="shared" si="58"/>
        <v>202503</v>
      </c>
      <c r="R622" s="21">
        <f t="shared" si="59"/>
        <v>45717</v>
      </c>
    </row>
    <row r="623" spans="1:18" x14ac:dyDescent="0.25">
      <c r="A623" s="5" t="s">
        <v>1174</v>
      </c>
      <c r="B623" s="14">
        <v>45527</v>
      </c>
      <c r="C623" s="5" t="s">
        <v>879</v>
      </c>
      <c r="D623" s="10" t="s">
        <v>26</v>
      </c>
      <c r="E623" s="10" t="s">
        <v>83</v>
      </c>
      <c r="F623" s="10" t="s">
        <v>22</v>
      </c>
      <c r="G623" s="15">
        <v>1</v>
      </c>
      <c r="H623" s="11">
        <v>3849.5483999999997</v>
      </c>
      <c r="I623" s="12">
        <v>0</v>
      </c>
      <c r="J623" s="11">
        <v>3849.5483999999997</v>
      </c>
      <c r="K623" s="11">
        <v>1659.8101999999999</v>
      </c>
      <c r="L623" s="10" t="s">
        <v>17</v>
      </c>
      <c r="M623" s="5">
        <f t="shared" si="54"/>
        <v>2024</v>
      </c>
      <c r="N623" s="5">
        <f t="shared" si="55"/>
        <v>8</v>
      </c>
      <c r="O623" s="21">
        <f t="shared" si="56"/>
        <v>45505</v>
      </c>
      <c r="P623" s="13">
        <f t="shared" si="57"/>
        <v>0.43117010816125861</v>
      </c>
      <c r="Q623" s="5">
        <f t="shared" si="58"/>
        <v>202408</v>
      </c>
      <c r="R623" s="21">
        <f t="shared" si="59"/>
        <v>45505</v>
      </c>
    </row>
    <row r="624" spans="1:18" x14ac:dyDescent="0.25">
      <c r="A624" s="5" t="s">
        <v>1175</v>
      </c>
      <c r="B624" s="14">
        <v>45590</v>
      </c>
      <c r="C624" s="5" t="s">
        <v>334</v>
      </c>
      <c r="D624" s="10" t="s">
        <v>42</v>
      </c>
      <c r="E624" s="10" t="s">
        <v>232</v>
      </c>
      <c r="F624" s="10" t="s">
        <v>22</v>
      </c>
      <c r="G624" s="15">
        <v>1</v>
      </c>
      <c r="H624" s="11">
        <v>3284.6073000000001</v>
      </c>
      <c r="I624" s="12">
        <v>10</v>
      </c>
      <c r="J624" s="11">
        <v>2956.2411999999999</v>
      </c>
      <c r="K624" s="11">
        <v>1724.1585999999998</v>
      </c>
      <c r="L624" s="10" t="s">
        <v>23</v>
      </c>
      <c r="M624" s="5">
        <f t="shared" si="54"/>
        <v>2024</v>
      </c>
      <c r="N624" s="5">
        <f t="shared" si="55"/>
        <v>10</v>
      </c>
      <c r="O624" s="21">
        <f t="shared" si="56"/>
        <v>45566</v>
      </c>
      <c r="P624" s="13">
        <f t="shared" si="57"/>
        <v>0.58322663252240714</v>
      </c>
      <c r="Q624" s="5">
        <f t="shared" si="58"/>
        <v>202410</v>
      </c>
      <c r="R624" s="21">
        <f t="shared" si="59"/>
        <v>45566</v>
      </c>
    </row>
    <row r="625" spans="1:18" x14ac:dyDescent="0.25">
      <c r="A625" s="5" t="s">
        <v>1176</v>
      </c>
      <c r="B625" s="14">
        <v>45883</v>
      </c>
      <c r="C625" s="5" t="s">
        <v>702</v>
      </c>
      <c r="D625" s="10" t="s">
        <v>26</v>
      </c>
      <c r="E625" s="10" t="s">
        <v>187</v>
      </c>
      <c r="F625" s="10" t="s">
        <v>75</v>
      </c>
      <c r="G625" s="15">
        <v>2</v>
      </c>
      <c r="H625" s="11">
        <v>2726.2902999999997</v>
      </c>
      <c r="I625" s="12">
        <v>5</v>
      </c>
      <c r="J625" s="11">
        <v>5180.0461999999998</v>
      </c>
      <c r="K625" s="11">
        <v>1476.2279999999998</v>
      </c>
      <c r="L625" s="10" t="s">
        <v>23</v>
      </c>
      <c r="M625" s="5">
        <f t="shared" si="54"/>
        <v>2025</v>
      </c>
      <c r="N625" s="5">
        <f t="shared" si="55"/>
        <v>8</v>
      </c>
      <c r="O625" s="21">
        <f t="shared" si="56"/>
        <v>45870</v>
      </c>
      <c r="P625" s="13">
        <f t="shared" si="57"/>
        <v>0.28498355864084762</v>
      </c>
      <c r="Q625" s="5">
        <f t="shared" si="58"/>
        <v>202508</v>
      </c>
      <c r="R625" s="21">
        <f t="shared" si="59"/>
        <v>45870</v>
      </c>
    </row>
    <row r="626" spans="1:18" x14ac:dyDescent="0.25">
      <c r="A626" s="5" t="s">
        <v>1177</v>
      </c>
      <c r="B626" s="14">
        <v>45568</v>
      </c>
      <c r="C626" s="5" t="s">
        <v>1178</v>
      </c>
      <c r="D626" s="10" t="s">
        <v>20</v>
      </c>
      <c r="E626" s="10" t="s">
        <v>27</v>
      </c>
      <c r="F626" s="10" t="s">
        <v>22</v>
      </c>
      <c r="G626" s="15">
        <v>1</v>
      </c>
      <c r="H626" s="11">
        <v>773.12709999999993</v>
      </c>
      <c r="I626" s="12">
        <v>0</v>
      </c>
      <c r="J626" s="11">
        <v>773.12709999999993</v>
      </c>
      <c r="K626" s="11">
        <v>432.45909999999998</v>
      </c>
      <c r="L626" s="10" t="s">
        <v>17</v>
      </c>
      <c r="M626" s="5">
        <f t="shared" si="54"/>
        <v>2024</v>
      </c>
      <c r="N626" s="5">
        <f t="shared" si="55"/>
        <v>10</v>
      </c>
      <c r="O626" s="21">
        <f t="shared" si="56"/>
        <v>45566</v>
      </c>
      <c r="P626" s="13">
        <f t="shared" si="57"/>
        <v>0.55936352509179932</v>
      </c>
      <c r="Q626" s="5">
        <f t="shared" si="58"/>
        <v>202410</v>
      </c>
      <c r="R626" s="21">
        <f t="shared" si="59"/>
        <v>45566</v>
      </c>
    </row>
    <row r="627" spans="1:18" x14ac:dyDescent="0.25">
      <c r="A627" s="5" t="s">
        <v>1179</v>
      </c>
      <c r="B627" s="14">
        <v>45756</v>
      </c>
      <c r="C627" s="5" t="s">
        <v>1180</v>
      </c>
      <c r="D627" s="10" t="s">
        <v>37</v>
      </c>
      <c r="E627" s="10" t="s">
        <v>208</v>
      </c>
      <c r="F627" s="10" t="s">
        <v>22</v>
      </c>
      <c r="G627" s="15">
        <v>1</v>
      </c>
      <c r="H627" s="11">
        <v>2275.8514999999998</v>
      </c>
      <c r="I627" s="12">
        <v>20</v>
      </c>
      <c r="J627" s="11">
        <v>1820.6811999999998</v>
      </c>
      <c r="K627" s="11">
        <v>758.93259999999998</v>
      </c>
      <c r="L627" s="10" t="s">
        <v>23</v>
      </c>
      <c r="M627" s="5">
        <f t="shared" si="54"/>
        <v>2025</v>
      </c>
      <c r="N627" s="5">
        <f t="shared" si="55"/>
        <v>4</v>
      </c>
      <c r="O627" s="21">
        <f t="shared" si="56"/>
        <v>45748</v>
      </c>
      <c r="P627" s="13">
        <f t="shared" si="57"/>
        <v>0.41683991683991689</v>
      </c>
      <c r="Q627" s="5">
        <f t="shared" si="58"/>
        <v>202504</v>
      </c>
      <c r="R627" s="21">
        <f t="shared" si="59"/>
        <v>45748</v>
      </c>
    </row>
    <row r="628" spans="1:18" x14ac:dyDescent="0.25">
      <c r="A628" s="5" t="s">
        <v>1181</v>
      </c>
      <c r="B628" s="14">
        <v>45701</v>
      </c>
      <c r="C628" s="5" t="s">
        <v>1182</v>
      </c>
      <c r="D628" s="10" t="s">
        <v>37</v>
      </c>
      <c r="E628" s="10" t="s">
        <v>187</v>
      </c>
      <c r="F628" s="10" t="s">
        <v>75</v>
      </c>
      <c r="G628" s="15">
        <v>1</v>
      </c>
      <c r="H628" s="11">
        <v>4679.4534999999996</v>
      </c>
      <c r="I628" s="12">
        <v>10</v>
      </c>
      <c r="J628" s="11">
        <v>4211.9812999999995</v>
      </c>
      <c r="K628" s="11">
        <v>739.06029999999998</v>
      </c>
      <c r="L628" s="10" t="s">
        <v>17</v>
      </c>
      <c r="M628" s="5">
        <f t="shared" si="54"/>
        <v>2025</v>
      </c>
      <c r="N628" s="5">
        <f t="shared" si="55"/>
        <v>2</v>
      </c>
      <c r="O628" s="21">
        <f t="shared" si="56"/>
        <v>45689</v>
      </c>
      <c r="P628" s="13">
        <f t="shared" si="57"/>
        <v>0.17546618737362393</v>
      </c>
      <c r="Q628" s="5">
        <f t="shared" si="58"/>
        <v>202502</v>
      </c>
      <c r="R628" s="21">
        <f t="shared" si="59"/>
        <v>45689</v>
      </c>
    </row>
    <row r="629" spans="1:18" x14ac:dyDescent="0.25">
      <c r="A629" s="5" t="s">
        <v>1183</v>
      </c>
      <c r="B629" s="14">
        <v>45470</v>
      </c>
      <c r="C629" s="5" t="s">
        <v>1184</v>
      </c>
      <c r="D629" s="10" t="s">
        <v>26</v>
      </c>
      <c r="E629" s="10" t="s">
        <v>253</v>
      </c>
      <c r="F629" s="10" t="s">
        <v>49</v>
      </c>
      <c r="G629" s="15">
        <v>1</v>
      </c>
      <c r="H629" s="11">
        <v>2811.4573</v>
      </c>
      <c r="I629" s="12">
        <v>0</v>
      </c>
      <c r="J629" s="11">
        <v>2811.4573</v>
      </c>
      <c r="K629" s="11">
        <v>1528.2744999999998</v>
      </c>
      <c r="L629" s="10" t="s">
        <v>17</v>
      </c>
      <c r="M629" s="5">
        <f t="shared" si="54"/>
        <v>2024</v>
      </c>
      <c r="N629" s="5">
        <f t="shared" si="55"/>
        <v>6</v>
      </c>
      <c r="O629" s="21">
        <f t="shared" si="56"/>
        <v>45444</v>
      </c>
      <c r="P629" s="13">
        <f t="shared" si="57"/>
        <v>0.54358801750252428</v>
      </c>
      <c r="Q629" s="5">
        <f t="shared" si="58"/>
        <v>202406</v>
      </c>
      <c r="R629" s="21">
        <f t="shared" si="59"/>
        <v>45444</v>
      </c>
    </row>
    <row r="630" spans="1:18" x14ac:dyDescent="0.25">
      <c r="A630" s="5" t="s">
        <v>1185</v>
      </c>
      <c r="B630" s="14">
        <v>45941</v>
      </c>
      <c r="C630" s="5" t="s">
        <v>1186</v>
      </c>
      <c r="D630" s="10" t="s">
        <v>37</v>
      </c>
      <c r="E630" s="10" t="s">
        <v>118</v>
      </c>
      <c r="F630" s="10" t="s">
        <v>49</v>
      </c>
      <c r="G630" s="15">
        <v>3</v>
      </c>
      <c r="H630" s="11">
        <v>5865.1673999999994</v>
      </c>
      <c r="I630" s="12">
        <v>20</v>
      </c>
      <c r="J630" s="11">
        <v>14076.2125</v>
      </c>
      <c r="K630" s="11">
        <v>7563.7759000000005</v>
      </c>
      <c r="L630" s="10" t="s">
        <v>23</v>
      </c>
      <c r="M630" s="5">
        <f t="shared" si="54"/>
        <v>2025</v>
      </c>
      <c r="N630" s="5">
        <f t="shared" si="55"/>
        <v>10</v>
      </c>
      <c r="O630" s="21">
        <f t="shared" si="56"/>
        <v>45931</v>
      </c>
      <c r="P630" s="13">
        <f t="shared" si="57"/>
        <v>0.53734453781512614</v>
      </c>
      <c r="Q630" s="5">
        <f t="shared" si="58"/>
        <v>202510</v>
      </c>
      <c r="R630" s="21">
        <f t="shared" si="59"/>
        <v>45931</v>
      </c>
    </row>
    <row r="631" spans="1:18" x14ac:dyDescent="0.25">
      <c r="A631" s="5" t="s">
        <v>1187</v>
      </c>
      <c r="B631" s="14">
        <v>45545</v>
      </c>
      <c r="C631" s="5" t="s">
        <v>1188</v>
      </c>
      <c r="D631" s="10" t="s">
        <v>37</v>
      </c>
      <c r="E631" s="10" t="s">
        <v>502</v>
      </c>
      <c r="F631" s="10" t="s">
        <v>22</v>
      </c>
      <c r="G631" s="15">
        <v>5</v>
      </c>
      <c r="H631" s="11">
        <v>3334.7611999999999</v>
      </c>
      <c r="I631" s="12">
        <v>10</v>
      </c>
      <c r="J631" s="11">
        <v>15006.4254</v>
      </c>
      <c r="K631" s="11">
        <v>7454.9513999999999</v>
      </c>
      <c r="L631" s="10" t="s">
        <v>23</v>
      </c>
      <c r="M631" s="5">
        <f t="shared" si="54"/>
        <v>2024</v>
      </c>
      <c r="N631" s="5">
        <f t="shared" si="55"/>
        <v>9</v>
      </c>
      <c r="O631" s="21">
        <f t="shared" si="56"/>
        <v>45536</v>
      </c>
      <c r="P631" s="13">
        <f t="shared" si="57"/>
        <v>0.4967839576239122</v>
      </c>
      <c r="Q631" s="5">
        <f t="shared" si="58"/>
        <v>202409</v>
      </c>
      <c r="R631" s="21">
        <f t="shared" si="59"/>
        <v>45536</v>
      </c>
    </row>
    <row r="632" spans="1:18" x14ac:dyDescent="0.25">
      <c r="A632" s="5" t="s">
        <v>1189</v>
      </c>
      <c r="B632" s="14">
        <v>45583</v>
      </c>
      <c r="C632" s="5" t="s">
        <v>1190</v>
      </c>
      <c r="D632" s="10" t="s">
        <v>14</v>
      </c>
      <c r="E632" s="10" t="s">
        <v>133</v>
      </c>
      <c r="F632" s="10" t="s">
        <v>75</v>
      </c>
      <c r="G632" s="15">
        <v>3</v>
      </c>
      <c r="H632" s="11">
        <v>1461.0871999999999</v>
      </c>
      <c r="I632" s="12">
        <v>0</v>
      </c>
      <c r="J632" s="11">
        <v>4383.2615999999998</v>
      </c>
      <c r="K632" s="11">
        <v>1003.078</v>
      </c>
      <c r="L632" s="10" t="s">
        <v>17</v>
      </c>
      <c r="M632" s="5">
        <f t="shared" si="54"/>
        <v>2024</v>
      </c>
      <c r="N632" s="5">
        <f t="shared" si="55"/>
        <v>10</v>
      </c>
      <c r="O632" s="21">
        <f t="shared" si="56"/>
        <v>45566</v>
      </c>
      <c r="P632" s="13">
        <f t="shared" si="57"/>
        <v>0.22884283246977549</v>
      </c>
      <c r="Q632" s="5">
        <f t="shared" si="58"/>
        <v>202410</v>
      </c>
      <c r="R632" s="21">
        <f t="shared" si="59"/>
        <v>45566</v>
      </c>
    </row>
    <row r="633" spans="1:18" x14ac:dyDescent="0.25">
      <c r="A633" s="5" t="s">
        <v>1191</v>
      </c>
      <c r="B633" s="14">
        <v>45671</v>
      </c>
      <c r="C633" s="5" t="s">
        <v>1192</v>
      </c>
      <c r="D633" s="10" t="s">
        <v>26</v>
      </c>
      <c r="E633" s="10" t="s">
        <v>108</v>
      </c>
      <c r="F633" s="10" t="s">
        <v>75</v>
      </c>
      <c r="G633" s="15">
        <v>4</v>
      </c>
      <c r="H633" s="11">
        <v>4122.0828000000001</v>
      </c>
      <c r="I633" s="12">
        <v>0</v>
      </c>
      <c r="J633" s="11">
        <v>16488.331200000001</v>
      </c>
      <c r="K633" s="11">
        <v>3622.4364</v>
      </c>
      <c r="L633" s="10" t="s">
        <v>17</v>
      </c>
      <c r="M633" s="5">
        <f t="shared" si="54"/>
        <v>2025</v>
      </c>
      <c r="N633" s="5">
        <f t="shared" si="55"/>
        <v>1</v>
      </c>
      <c r="O633" s="21">
        <f t="shared" si="56"/>
        <v>45658</v>
      </c>
      <c r="P633" s="13">
        <f t="shared" si="57"/>
        <v>0.2196969696969697</v>
      </c>
      <c r="Q633" s="5">
        <f t="shared" si="58"/>
        <v>202501</v>
      </c>
      <c r="R633" s="21">
        <f t="shared" si="59"/>
        <v>45658</v>
      </c>
    </row>
    <row r="634" spans="1:18" x14ac:dyDescent="0.25">
      <c r="A634" s="5" t="s">
        <v>1193</v>
      </c>
      <c r="B634" s="14">
        <v>45863</v>
      </c>
      <c r="C634" s="5" t="s">
        <v>791</v>
      </c>
      <c r="D634" s="10" t="s">
        <v>37</v>
      </c>
      <c r="E634" s="10" t="s">
        <v>502</v>
      </c>
      <c r="F634" s="10" t="s">
        <v>22</v>
      </c>
      <c r="G634" s="15">
        <v>2</v>
      </c>
      <c r="H634" s="11">
        <v>2772.6590000000001</v>
      </c>
      <c r="I634" s="12">
        <v>20</v>
      </c>
      <c r="J634" s="11">
        <v>4436.2543999999998</v>
      </c>
      <c r="K634" s="11">
        <v>2749.0014999999999</v>
      </c>
      <c r="L634" s="10" t="s">
        <v>17</v>
      </c>
      <c r="M634" s="5">
        <f t="shared" si="54"/>
        <v>2025</v>
      </c>
      <c r="N634" s="5">
        <f t="shared" si="55"/>
        <v>7</v>
      </c>
      <c r="O634" s="21">
        <f t="shared" si="56"/>
        <v>45839</v>
      </c>
      <c r="P634" s="13">
        <f t="shared" si="57"/>
        <v>0.61966723549488056</v>
      </c>
      <c r="Q634" s="5">
        <f t="shared" si="58"/>
        <v>202507</v>
      </c>
      <c r="R634" s="21">
        <f t="shared" si="59"/>
        <v>45839</v>
      </c>
    </row>
    <row r="635" spans="1:18" x14ac:dyDescent="0.25">
      <c r="A635" s="5" t="s">
        <v>1194</v>
      </c>
      <c r="B635" s="14">
        <v>45831</v>
      </c>
      <c r="C635" s="5" t="s">
        <v>892</v>
      </c>
      <c r="D635" s="10" t="s">
        <v>42</v>
      </c>
      <c r="E635" s="10" t="s">
        <v>74</v>
      </c>
      <c r="F635" s="10" t="s">
        <v>75</v>
      </c>
      <c r="G635" s="15">
        <v>1</v>
      </c>
      <c r="H635" s="11">
        <v>1728.8900999999998</v>
      </c>
      <c r="I635" s="12">
        <v>0</v>
      </c>
      <c r="J635" s="11">
        <v>1728.8900999999998</v>
      </c>
      <c r="K635" s="11">
        <v>580.08190000000002</v>
      </c>
      <c r="L635" s="10" t="s">
        <v>23</v>
      </c>
      <c r="M635" s="5">
        <f t="shared" si="54"/>
        <v>2025</v>
      </c>
      <c r="N635" s="5">
        <f t="shared" si="55"/>
        <v>6</v>
      </c>
      <c r="O635" s="21">
        <f t="shared" si="56"/>
        <v>45809</v>
      </c>
      <c r="P635" s="13">
        <f t="shared" si="57"/>
        <v>0.33552271483305968</v>
      </c>
      <c r="Q635" s="5">
        <f t="shared" si="58"/>
        <v>202506</v>
      </c>
      <c r="R635" s="21">
        <f t="shared" si="59"/>
        <v>45809</v>
      </c>
    </row>
    <row r="636" spans="1:18" x14ac:dyDescent="0.25">
      <c r="A636" s="5" t="s">
        <v>1195</v>
      </c>
      <c r="B636" s="14">
        <v>45587</v>
      </c>
      <c r="C636" s="5" t="s">
        <v>496</v>
      </c>
      <c r="D636" s="10" t="s">
        <v>42</v>
      </c>
      <c r="E636" s="10" t="s">
        <v>208</v>
      </c>
      <c r="F636" s="10" t="s">
        <v>22</v>
      </c>
      <c r="G636" s="15">
        <v>2</v>
      </c>
      <c r="H636" s="11">
        <v>4360.5504000000001</v>
      </c>
      <c r="I636" s="12">
        <v>0</v>
      </c>
      <c r="J636" s="11">
        <v>8721.1008000000002</v>
      </c>
      <c r="K636" s="11">
        <v>3642.3087</v>
      </c>
      <c r="L636" s="10" t="s">
        <v>17</v>
      </c>
      <c r="M636" s="5">
        <f t="shared" si="54"/>
        <v>2024</v>
      </c>
      <c r="N636" s="5">
        <f t="shared" si="55"/>
        <v>10</v>
      </c>
      <c r="O636" s="21">
        <f t="shared" si="56"/>
        <v>45566</v>
      </c>
      <c r="P636" s="13">
        <f t="shared" si="57"/>
        <v>0.41764322916666669</v>
      </c>
      <c r="Q636" s="5">
        <f t="shared" si="58"/>
        <v>202410</v>
      </c>
      <c r="R636" s="21">
        <f t="shared" si="59"/>
        <v>45566</v>
      </c>
    </row>
    <row r="637" spans="1:18" x14ac:dyDescent="0.25">
      <c r="A637" s="5" t="s">
        <v>1196</v>
      </c>
      <c r="B637" s="14">
        <v>45339</v>
      </c>
      <c r="C637" s="5" t="s">
        <v>1197</v>
      </c>
      <c r="D637" s="10" t="s">
        <v>37</v>
      </c>
      <c r="E637" s="10" t="s">
        <v>94</v>
      </c>
      <c r="F637" s="10" t="s">
        <v>75</v>
      </c>
      <c r="G637" s="15">
        <v>2</v>
      </c>
      <c r="H637" s="11">
        <v>2259.7644</v>
      </c>
      <c r="I637" s="12">
        <v>0</v>
      </c>
      <c r="J637" s="11">
        <v>4519.5288</v>
      </c>
      <c r="K637" s="11">
        <v>969.01119999999992</v>
      </c>
      <c r="L637" s="10" t="s">
        <v>17</v>
      </c>
      <c r="M637" s="5">
        <f t="shared" si="54"/>
        <v>2024</v>
      </c>
      <c r="N637" s="5">
        <f t="shared" si="55"/>
        <v>2</v>
      </c>
      <c r="O637" s="21">
        <f t="shared" si="56"/>
        <v>45323</v>
      </c>
      <c r="P637" s="13">
        <f t="shared" si="57"/>
        <v>0.21440536013400333</v>
      </c>
      <c r="Q637" s="5">
        <f t="shared" si="58"/>
        <v>202402</v>
      </c>
      <c r="R637" s="21">
        <f t="shared" si="59"/>
        <v>45323</v>
      </c>
    </row>
    <row r="638" spans="1:18" x14ac:dyDescent="0.25">
      <c r="A638" s="5" t="s">
        <v>1198</v>
      </c>
      <c r="B638" s="14">
        <v>45466</v>
      </c>
      <c r="C638" s="5" t="s">
        <v>189</v>
      </c>
      <c r="D638" s="10" t="s">
        <v>37</v>
      </c>
      <c r="E638" s="10" t="s">
        <v>222</v>
      </c>
      <c r="F638" s="10" t="s">
        <v>22</v>
      </c>
      <c r="G638" s="15">
        <v>3</v>
      </c>
      <c r="H638" s="11">
        <v>3859.0113999999999</v>
      </c>
      <c r="I638" s="12">
        <v>0</v>
      </c>
      <c r="J638" s="11">
        <v>11577.0342</v>
      </c>
      <c r="K638" s="11">
        <v>6530.4162999999999</v>
      </c>
      <c r="L638" s="10" t="s">
        <v>17</v>
      </c>
      <c r="M638" s="5">
        <f t="shared" si="54"/>
        <v>2024</v>
      </c>
      <c r="N638" s="5">
        <f t="shared" si="55"/>
        <v>6</v>
      </c>
      <c r="O638" s="21">
        <f t="shared" si="56"/>
        <v>45444</v>
      </c>
      <c r="P638" s="13">
        <f t="shared" si="57"/>
        <v>0.56408370116069972</v>
      </c>
      <c r="Q638" s="5">
        <f t="shared" si="58"/>
        <v>202406</v>
      </c>
      <c r="R638" s="21">
        <f t="shared" si="59"/>
        <v>45444</v>
      </c>
    </row>
    <row r="639" spans="1:18" x14ac:dyDescent="0.25">
      <c r="A639" s="5" t="s">
        <v>1199</v>
      </c>
      <c r="B639" s="14">
        <v>45527</v>
      </c>
      <c r="C639" s="5" t="s">
        <v>713</v>
      </c>
      <c r="D639" s="10" t="s">
        <v>14</v>
      </c>
      <c r="E639" s="10" t="s">
        <v>83</v>
      </c>
      <c r="F639" s="10" t="s">
        <v>22</v>
      </c>
      <c r="G639" s="15">
        <v>5</v>
      </c>
      <c r="H639" s="11">
        <v>1982.4984999999999</v>
      </c>
      <c r="I639" s="12">
        <v>15</v>
      </c>
      <c r="J639" s="11">
        <v>8425.8552</v>
      </c>
      <c r="K639" s="11">
        <v>4865.8746000000001</v>
      </c>
      <c r="L639" s="10" t="s">
        <v>17</v>
      </c>
      <c r="M639" s="5">
        <f t="shared" si="54"/>
        <v>2024</v>
      </c>
      <c r="N639" s="5">
        <f t="shared" si="55"/>
        <v>8</v>
      </c>
      <c r="O639" s="21">
        <f t="shared" si="56"/>
        <v>45505</v>
      </c>
      <c r="P639" s="13">
        <f t="shared" si="57"/>
        <v>0.5774932614555256</v>
      </c>
      <c r="Q639" s="5">
        <f t="shared" si="58"/>
        <v>202408</v>
      </c>
      <c r="R639" s="21">
        <f t="shared" si="59"/>
        <v>45505</v>
      </c>
    </row>
    <row r="640" spans="1:18" x14ac:dyDescent="0.25">
      <c r="A640" s="5" t="s">
        <v>1200</v>
      </c>
      <c r="B640" s="14">
        <v>45557</v>
      </c>
      <c r="C640" s="5" t="s">
        <v>411</v>
      </c>
      <c r="D640" s="10" t="s">
        <v>26</v>
      </c>
      <c r="E640" s="10" t="s">
        <v>151</v>
      </c>
      <c r="F640" s="10" t="s">
        <v>39</v>
      </c>
      <c r="G640" s="15">
        <v>3</v>
      </c>
      <c r="H640" s="11">
        <v>6235.1706999999997</v>
      </c>
      <c r="I640" s="12">
        <v>15</v>
      </c>
      <c r="J640" s="11">
        <v>15899.732599999999</v>
      </c>
      <c r="K640" s="11">
        <v>4746.6407999999992</v>
      </c>
      <c r="L640" s="10" t="s">
        <v>17</v>
      </c>
      <c r="M640" s="5">
        <f t="shared" si="54"/>
        <v>2024</v>
      </c>
      <c r="N640" s="5">
        <f t="shared" si="55"/>
        <v>9</v>
      </c>
      <c r="O640" s="21">
        <f t="shared" si="56"/>
        <v>45536</v>
      </c>
      <c r="P640" s="13">
        <f t="shared" si="57"/>
        <v>0.29853588858469227</v>
      </c>
      <c r="Q640" s="5">
        <f t="shared" si="58"/>
        <v>202409</v>
      </c>
      <c r="R640" s="21">
        <f t="shared" si="59"/>
        <v>45536</v>
      </c>
    </row>
    <row r="641" spans="1:18" x14ac:dyDescent="0.25">
      <c r="A641" s="5" t="s">
        <v>1201</v>
      </c>
      <c r="B641" s="14">
        <v>45454</v>
      </c>
      <c r="C641" s="5" t="s">
        <v>1202</v>
      </c>
      <c r="D641" s="10" t="s">
        <v>14</v>
      </c>
      <c r="E641" s="10" t="s">
        <v>91</v>
      </c>
      <c r="F641" s="10" t="s">
        <v>49</v>
      </c>
      <c r="G641" s="15">
        <v>1</v>
      </c>
      <c r="H641" s="11">
        <v>1979.6596</v>
      </c>
      <c r="I641" s="12">
        <v>5</v>
      </c>
      <c r="J641" s="11">
        <v>1880.2981</v>
      </c>
      <c r="K641" s="11">
        <v>1009.7021</v>
      </c>
      <c r="L641" s="10" t="s">
        <v>17</v>
      </c>
      <c r="M641" s="5">
        <f t="shared" si="54"/>
        <v>2024</v>
      </c>
      <c r="N641" s="5">
        <f t="shared" si="55"/>
        <v>6</v>
      </c>
      <c r="O641" s="21">
        <f t="shared" si="56"/>
        <v>45444</v>
      </c>
      <c r="P641" s="13">
        <f t="shared" si="57"/>
        <v>0.53699043784599898</v>
      </c>
      <c r="Q641" s="5">
        <f t="shared" si="58"/>
        <v>202406</v>
      </c>
      <c r="R641" s="21">
        <f t="shared" si="59"/>
        <v>45444</v>
      </c>
    </row>
    <row r="642" spans="1:18" x14ac:dyDescent="0.25">
      <c r="A642" s="5" t="s">
        <v>1203</v>
      </c>
      <c r="B642" s="14">
        <v>45611</v>
      </c>
      <c r="C642" s="5" t="s">
        <v>1204</v>
      </c>
      <c r="D642" s="10" t="s">
        <v>26</v>
      </c>
      <c r="E642" s="10" t="s">
        <v>105</v>
      </c>
      <c r="F642" s="10" t="s">
        <v>39</v>
      </c>
      <c r="G642" s="15">
        <v>2</v>
      </c>
      <c r="H642" s="11">
        <v>4858.3042000000005</v>
      </c>
      <c r="I642" s="12">
        <v>10</v>
      </c>
      <c r="J642" s="11">
        <v>8744.7582999999995</v>
      </c>
      <c r="K642" s="11">
        <v>3454.9412999999995</v>
      </c>
      <c r="L642" s="10" t="s">
        <v>17</v>
      </c>
      <c r="M642" s="5">
        <f t="shared" ref="M642:M705" si="60">YEAR(B642)</f>
        <v>2024</v>
      </c>
      <c r="N642" s="5">
        <f t="shared" ref="N642:N705" si="61">MONTH(B642)</f>
        <v>11</v>
      </c>
      <c r="O642" s="21">
        <f t="shared" ref="O642:O705" si="62">DATE(YEAR(B642),MONTH(B642),1)</f>
        <v>45597</v>
      </c>
      <c r="P642" s="13">
        <f t="shared" ref="P642:P705" si="63">(K642/J642)</f>
        <v>0.39508711178443889</v>
      </c>
      <c r="Q642" s="5">
        <f t="shared" ref="Q642:Q705" si="64">YEAR(B642)*100+MONTH(B642)</f>
        <v>202411</v>
      </c>
      <c r="R642" s="21">
        <f t="shared" ref="R642:R705" si="65">DATE(YEAR(B642),MONTH(B642),1)</f>
        <v>45597</v>
      </c>
    </row>
    <row r="643" spans="1:18" x14ac:dyDescent="0.25">
      <c r="A643" s="5" t="s">
        <v>1205</v>
      </c>
      <c r="B643" s="14">
        <v>45438</v>
      </c>
      <c r="C643" s="5" t="s">
        <v>1206</v>
      </c>
      <c r="D643" s="10" t="s">
        <v>37</v>
      </c>
      <c r="E643" s="10" t="s">
        <v>148</v>
      </c>
      <c r="F643" s="10" t="s">
        <v>16</v>
      </c>
      <c r="G643" s="15">
        <v>1</v>
      </c>
      <c r="H643" s="11">
        <v>9743.1047999999992</v>
      </c>
      <c r="I643" s="12">
        <v>10</v>
      </c>
      <c r="J643" s="11">
        <v>8768.4157999999989</v>
      </c>
      <c r="K643" s="11">
        <v>1998.5855999999999</v>
      </c>
      <c r="L643" s="10" t="s">
        <v>23</v>
      </c>
      <c r="M643" s="5">
        <f t="shared" si="60"/>
        <v>2024</v>
      </c>
      <c r="N643" s="5">
        <f t="shared" si="61"/>
        <v>5</v>
      </c>
      <c r="O643" s="21">
        <f t="shared" si="62"/>
        <v>45413</v>
      </c>
      <c r="P643" s="13">
        <f t="shared" si="63"/>
        <v>0.22793006691128859</v>
      </c>
      <c r="Q643" s="5">
        <f t="shared" si="64"/>
        <v>202405</v>
      </c>
      <c r="R643" s="21">
        <f t="shared" si="65"/>
        <v>45413</v>
      </c>
    </row>
    <row r="644" spans="1:18" x14ac:dyDescent="0.25">
      <c r="A644" s="5" t="s">
        <v>1207</v>
      </c>
      <c r="B644" s="14">
        <v>45594</v>
      </c>
      <c r="C644" s="5" t="s">
        <v>852</v>
      </c>
      <c r="D644" s="10" t="s">
        <v>26</v>
      </c>
      <c r="E644" s="10" t="s">
        <v>151</v>
      </c>
      <c r="F644" s="10" t="s">
        <v>39</v>
      </c>
      <c r="G644" s="15">
        <v>1</v>
      </c>
      <c r="H644" s="11">
        <v>3221.2051999999999</v>
      </c>
      <c r="I644" s="12">
        <v>0</v>
      </c>
      <c r="J644" s="11">
        <v>3221.2051999999999</v>
      </c>
      <c r="K644" s="11">
        <v>708.77869999999996</v>
      </c>
      <c r="L644" s="10" t="s">
        <v>17</v>
      </c>
      <c r="M644" s="5">
        <f t="shared" si="60"/>
        <v>2024</v>
      </c>
      <c r="N644" s="5">
        <f t="shared" si="61"/>
        <v>10</v>
      </c>
      <c r="O644" s="21">
        <f t="shared" si="62"/>
        <v>45566</v>
      </c>
      <c r="P644" s="13">
        <f t="shared" si="63"/>
        <v>0.2200352526439483</v>
      </c>
      <c r="Q644" s="5">
        <f t="shared" si="64"/>
        <v>202410</v>
      </c>
      <c r="R644" s="21">
        <f t="shared" si="65"/>
        <v>45566</v>
      </c>
    </row>
    <row r="645" spans="1:18" x14ac:dyDescent="0.25">
      <c r="A645" s="5" t="s">
        <v>1208</v>
      </c>
      <c r="B645" s="14">
        <v>45551</v>
      </c>
      <c r="C645" s="5" t="s">
        <v>1209</v>
      </c>
      <c r="D645" s="10" t="s">
        <v>26</v>
      </c>
      <c r="E645" s="10" t="s">
        <v>141</v>
      </c>
      <c r="F645" s="10" t="s">
        <v>16</v>
      </c>
      <c r="G645" s="15">
        <v>1</v>
      </c>
      <c r="H645" s="11">
        <v>11261.916300000001</v>
      </c>
      <c r="I645" s="12">
        <v>15</v>
      </c>
      <c r="J645" s="11">
        <v>9572.7707999999984</v>
      </c>
      <c r="K645" s="11">
        <v>1214.1028999999999</v>
      </c>
      <c r="L645" s="10" t="s">
        <v>23</v>
      </c>
      <c r="M645" s="5">
        <f t="shared" si="60"/>
        <v>2024</v>
      </c>
      <c r="N645" s="5">
        <f t="shared" si="61"/>
        <v>9</v>
      </c>
      <c r="O645" s="21">
        <f t="shared" si="62"/>
        <v>45536</v>
      </c>
      <c r="P645" s="13">
        <f t="shared" si="63"/>
        <v>0.12682878608145512</v>
      </c>
      <c r="Q645" s="5">
        <f t="shared" si="64"/>
        <v>202409</v>
      </c>
      <c r="R645" s="21">
        <f t="shared" si="65"/>
        <v>45536</v>
      </c>
    </row>
    <row r="646" spans="1:18" x14ac:dyDescent="0.25">
      <c r="A646" s="5" t="s">
        <v>1210</v>
      </c>
      <c r="B646" s="14">
        <v>45919</v>
      </c>
      <c r="C646" s="5" t="s">
        <v>1015</v>
      </c>
      <c r="D646" s="10" t="s">
        <v>20</v>
      </c>
      <c r="E646" s="10" t="s">
        <v>111</v>
      </c>
      <c r="F646" s="10" t="s">
        <v>49</v>
      </c>
      <c r="G646" s="15">
        <v>2</v>
      </c>
      <c r="H646" s="11">
        <v>4240.3702999999996</v>
      </c>
      <c r="I646" s="12">
        <v>5</v>
      </c>
      <c r="J646" s="11">
        <v>8056.7981999999993</v>
      </c>
      <c r="K646" s="11">
        <v>3573.2287999999999</v>
      </c>
      <c r="L646" s="10" t="s">
        <v>23</v>
      </c>
      <c r="M646" s="5">
        <f t="shared" si="60"/>
        <v>2025</v>
      </c>
      <c r="N646" s="5">
        <f t="shared" si="61"/>
        <v>9</v>
      </c>
      <c r="O646" s="21">
        <f t="shared" si="62"/>
        <v>45901</v>
      </c>
      <c r="P646" s="13">
        <f t="shared" si="63"/>
        <v>0.44350481559783889</v>
      </c>
      <c r="Q646" s="5">
        <f t="shared" si="64"/>
        <v>202509</v>
      </c>
      <c r="R646" s="21">
        <f t="shared" si="65"/>
        <v>45901</v>
      </c>
    </row>
    <row r="647" spans="1:18" x14ac:dyDescent="0.25">
      <c r="A647" s="5" t="s">
        <v>1211</v>
      </c>
      <c r="B647" s="14">
        <v>45939</v>
      </c>
      <c r="C647" s="5" t="s">
        <v>1212</v>
      </c>
      <c r="D647" s="10" t="s">
        <v>37</v>
      </c>
      <c r="E647" s="10" t="s">
        <v>15</v>
      </c>
      <c r="F647" s="10" t="s">
        <v>16</v>
      </c>
      <c r="G647" s="15">
        <v>2</v>
      </c>
      <c r="H647" s="11">
        <v>2054.4173000000001</v>
      </c>
      <c r="I647" s="12">
        <v>20</v>
      </c>
      <c r="J647" s="11">
        <v>3287.4461999999999</v>
      </c>
      <c r="K647" s="11">
        <v>559.26329999999996</v>
      </c>
      <c r="L647" s="10" t="s">
        <v>17</v>
      </c>
      <c r="M647" s="5">
        <f t="shared" si="60"/>
        <v>2025</v>
      </c>
      <c r="N647" s="5">
        <f t="shared" si="61"/>
        <v>10</v>
      </c>
      <c r="O647" s="21">
        <f t="shared" si="62"/>
        <v>45931</v>
      </c>
      <c r="P647" s="13">
        <f t="shared" si="63"/>
        <v>0.1701208981001727</v>
      </c>
      <c r="Q647" s="5">
        <f t="shared" si="64"/>
        <v>202510</v>
      </c>
      <c r="R647" s="21">
        <f t="shared" si="65"/>
        <v>45931</v>
      </c>
    </row>
    <row r="648" spans="1:18" x14ac:dyDescent="0.25">
      <c r="A648" s="5" t="s">
        <v>1213</v>
      </c>
      <c r="B648" s="14">
        <v>45860</v>
      </c>
      <c r="C648" s="5" t="s">
        <v>1214</v>
      </c>
      <c r="D648" s="10" t="s">
        <v>42</v>
      </c>
      <c r="E648" s="10" t="s">
        <v>30</v>
      </c>
      <c r="F648" s="10" t="s">
        <v>16</v>
      </c>
      <c r="G648" s="15">
        <v>1</v>
      </c>
      <c r="H648" s="11">
        <v>3586.4769999999999</v>
      </c>
      <c r="I648" s="12">
        <v>0</v>
      </c>
      <c r="J648" s="11">
        <v>3586.4769999999999</v>
      </c>
      <c r="K648" s="11">
        <v>499.64639999999997</v>
      </c>
      <c r="L648" s="10" t="s">
        <v>23</v>
      </c>
      <c r="M648" s="5">
        <f t="shared" si="60"/>
        <v>2025</v>
      </c>
      <c r="N648" s="5">
        <f t="shared" si="61"/>
        <v>7</v>
      </c>
      <c r="O648" s="21">
        <f t="shared" si="62"/>
        <v>45839</v>
      </c>
      <c r="P648" s="13">
        <f t="shared" si="63"/>
        <v>0.13931398416886542</v>
      </c>
      <c r="Q648" s="5">
        <f t="shared" si="64"/>
        <v>202507</v>
      </c>
      <c r="R648" s="21">
        <f t="shared" si="65"/>
        <v>45839</v>
      </c>
    </row>
    <row r="649" spans="1:18" x14ac:dyDescent="0.25">
      <c r="A649" s="5" t="s">
        <v>1215</v>
      </c>
      <c r="B649" s="14">
        <v>45572</v>
      </c>
      <c r="C649" s="5" t="s">
        <v>1216</v>
      </c>
      <c r="D649" s="10" t="s">
        <v>26</v>
      </c>
      <c r="E649" s="10" t="s">
        <v>187</v>
      </c>
      <c r="F649" s="10" t="s">
        <v>75</v>
      </c>
      <c r="G649" s="15">
        <v>2</v>
      </c>
      <c r="H649" s="11">
        <v>4262.1351999999997</v>
      </c>
      <c r="I649" s="12">
        <v>0</v>
      </c>
      <c r="J649" s="11">
        <v>8524.2703999999994</v>
      </c>
      <c r="K649" s="11">
        <v>1401.4703</v>
      </c>
      <c r="L649" s="10" t="s">
        <v>17</v>
      </c>
      <c r="M649" s="5">
        <f t="shared" si="60"/>
        <v>2024</v>
      </c>
      <c r="N649" s="5">
        <f t="shared" si="61"/>
        <v>10</v>
      </c>
      <c r="O649" s="21">
        <f t="shared" si="62"/>
        <v>45566</v>
      </c>
      <c r="P649" s="13">
        <f t="shared" si="63"/>
        <v>0.1644094138543517</v>
      </c>
      <c r="Q649" s="5">
        <f t="shared" si="64"/>
        <v>202410</v>
      </c>
      <c r="R649" s="21">
        <f t="shared" si="65"/>
        <v>45566</v>
      </c>
    </row>
    <row r="650" spans="1:18" x14ac:dyDescent="0.25">
      <c r="A650" s="5" t="s">
        <v>1217</v>
      </c>
      <c r="B650" s="14">
        <v>45827</v>
      </c>
      <c r="C650" s="5" t="s">
        <v>695</v>
      </c>
      <c r="D650" s="10" t="s">
        <v>42</v>
      </c>
      <c r="E650" s="10" t="s">
        <v>227</v>
      </c>
      <c r="F650" s="10" t="s">
        <v>39</v>
      </c>
      <c r="G650" s="15">
        <v>1</v>
      </c>
      <c r="H650" s="11">
        <v>6612.7443999999996</v>
      </c>
      <c r="I650" s="12">
        <v>5</v>
      </c>
      <c r="J650" s="11">
        <v>6282.4857000000002</v>
      </c>
      <c r="K650" s="11">
        <v>2283.4218999999998</v>
      </c>
      <c r="L650" s="10" t="s">
        <v>23</v>
      </c>
      <c r="M650" s="5">
        <f t="shared" si="60"/>
        <v>2025</v>
      </c>
      <c r="N650" s="5">
        <f t="shared" si="61"/>
        <v>6</v>
      </c>
      <c r="O650" s="21">
        <f t="shared" si="62"/>
        <v>45809</v>
      </c>
      <c r="P650" s="13">
        <f t="shared" si="63"/>
        <v>0.36345835216147004</v>
      </c>
      <c r="Q650" s="5">
        <f t="shared" si="64"/>
        <v>202506</v>
      </c>
      <c r="R650" s="21">
        <f t="shared" si="65"/>
        <v>45809</v>
      </c>
    </row>
    <row r="651" spans="1:18" x14ac:dyDescent="0.25">
      <c r="A651" s="5" t="s">
        <v>1218</v>
      </c>
      <c r="B651" s="14">
        <v>45449</v>
      </c>
      <c r="C651" s="5" t="s">
        <v>1141</v>
      </c>
      <c r="D651" s="10" t="s">
        <v>26</v>
      </c>
      <c r="E651" s="10" t="s">
        <v>214</v>
      </c>
      <c r="F651" s="10" t="s">
        <v>49</v>
      </c>
      <c r="G651" s="15">
        <v>2</v>
      </c>
      <c r="H651" s="11">
        <v>6965.7142999999996</v>
      </c>
      <c r="I651" s="12">
        <v>10</v>
      </c>
      <c r="J651" s="11">
        <v>12538.474999999999</v>
      </c>
      <c r="K651" s="11">
        <v>6284.3782999999994</v>
      </c>
      <c r="L651" s="10" t="s">
        <v>34</v>
      </c>
      <c r="M651" s="5">
        <f t="shared" si="60"/>
        <v>2024</v>
      </c>
      <c r="N651" s="5">
        <f t="shared" si="61"/>
        <v>6</v>
      </c>
      <c r="O651" s="21">
        <f t="shared" si="62"/>
        <v>45444</v>
      </c>
      <c r="P651" s="13">
        <f t="shared" si="63"/>
        <v>0.50120754716981131</v>
      </c>
      <c r="Q651" s="5">
        <f t="shared" si="64"/>
        <v>202406</v>
      </c>
      <c r="R651" s="21">
        <f t="shared" si="65"/>
        <v>45444</v>
      </c>
    </row>
    <row r="652" spans="1:18" x14ac:dyDescent="0.25">
      <c r="A652" s="5" t="s">
        <v>1219</v>
      </c>
      <c r="B652" s="14">
        <v>45665</v>
      </c>
      <c r="C652" s="5" t="s">
        <v>1220</v>
      </c>
      <c r="D652" s="10" t="s">
        <v>26</v>
      </c>
      <c r="E652" s="10" t="s">
        <v>211</v>
      </c>
      <c r="F652" s="10" t="s">
        <v>39</v>
      </c>
      <c r="G652" s="15">
        <v>4</v>
      </c>
      <c r="H652" s="11">
        <v>1378.7591</v>
      </c>
      <c r="I652" s="12">
        <v>10</v>
      </c>
      <c r="J652" s="11">
        <v>4963.3434999999999</v>
      </c>
      <c r="K652" s="11">
        <v>1036.1985</v>
      </c>
      <c r="L652" s="10" t="s">
        <v>17</v>
      </c>
      <c r="M652" s="5">
        <f t="shared" si="60"/>
        <v>2025</v>
      </c>
      <c r="N652" s="5">
        <f t="shared" si="61"/>
        <v>1</v>
      </c>
      <c r="O652" s="21">
        <f t="shared" si="62"/>
        <v>45658</v>
      </c>
      <c r="P652" s="13">
        <f t="shared" si="63"/>
        <v>0.20877025738798854</v>
      </c>
      <c r="Q652" s="5">
        <f t="shared" si="64"/>
        <v>202501</v>
      </c>
      <c r="R652" s="21">
        <f t="shared" si="65"/>
        <v>45658</v>
      </c>
    </row>
    <row r="653" spans="1:18" x14ac:dyDescent="0.25">
      <c r="A653" s="5" t="s">
        <v>1221</v>
      </c>
      <c r="B653" s="14">
        <v>45898</v>
      </c>
      <c r="C653" s="5" t="s">
        <v>467</v>
      </c>
      <c r="D653" s="10" t="s">
        <v>42</v>
      </c>
      <c r="E653" s="10" t="s">
        <v>141</v>
      </c>
      <c r="F653" s="10" t="s">
        <v>16</v>
      </c>
      <c r="G653" s="15">
        <v>1</v>
      </c>
      <c r="H653" s="11">
        <v>4303.7723999999998</v>
      </c>
      <c r="I653" s="12">
        <v>15</v>
      </c>
      <c r="J653" s="11">
        <v>3658.3957999999993</v>
      </c>
      <c r="K653" s="11">
        <v>795.8383</v>
      </c>
      <c r="L653" s="10" t="s">
        <v>17</v>
      </c>
      <c r="M653" s="5">
        <f t="shared" si="60"/>
        <v>2025</v>
      </c>
      <c r="N653" s="5">
        <f t="shared" si="61"/>
        <v>8</v>
      </c>
      <c r="O653" s="21">
        <f t="shared" si="62"/>
        <v>45870</v>
      </c>
      <c r="P653" s="13">
        <f t="shared" si="63"/>
        <v>0.21753750646663222</v>
      </c>
      <c r="Q653" s="5">
        <f t="shared" si="64"/>
        <v>202508</v>
      </c>
      <c r="R653" s="21">
        <f t="shared" si="65"/>
        <v>45870</v>
      </c>
    </row>
    <row r="654" spans="1:18" x14ac:dyDescent="0.25">
      <c r="A654" s="5" t="s">
        <v>1222</v>
      </c>
      <c r="B654" s="14">
        <v>45577</v>
      </c>
      <c r="C654" s="5" t="s">
        <v>1223</v>
      </c>
      <c r="D654" s="10" t="s">
        <v>37</v>
      </c>
      <c r="E654" s="10" t="s">
        <v>74</v>
      </c>
      <c r="F654" s="10" t="s">
        <v>75</v>
      </c>
      <c r="G654" s="15">
        <v>1</v>
      </c>
      <c r="H654" s="11">
        <v>1496.1003000000001</v>
      </c>
      <c r="I654" s="12">
        <v>0</v>
      </c>
      <c r="J654" s="11">
        <v>1496.1003000000001</v>
      </c>
      <c r="K654" s="11">
        <v>264.01769999999999</v>
      </c>
      <c r="L654" s="10" t="s">
        <v>17</v>
      </c>
      <c r="M654" s="5">
        <f t="shared" si="60"/>
        <v>2024</v>
      </c>
      <c r="N654" s="5">
        <f t="shared" si="61"/>
        <v>10</v>
      </c>
      <c r="O654" s="21">
        <f t="shared" si="62"/>
        <v>45566</v>
      </c>
      <c r="P654" s="13">
        <f t="shared" si="63"/>
        <v>0.1764705882352941</v>
      </c>
      <c r="Q654" s="5">
        <f t="shared" si="64"/>
        <v>202410</v>
      </c>
      <c r="R654" s="21">
        <f t="shared" si="65"/>
        <v>45566</v>
      </c>
    </row>
    <row r="655" spans="1:18" x14ac:dyDescent="0.25">
      <c r="A655" s="5" t="s">
        <v>1224</v>
      </c>
      <c r="B655" s="14">
        <v>45968</v>
      </c>
      <c r="C655" s="5" t="s">
        <v>1209</v>
      </c>
      <c r="D655" s="10" t="s">
        <v>42</v>
      </c>
      <c r="E655" s="10" t="s">
        <v>74</v>
      </c>
      <c r="F655" s="10" t="s">
        <v>75</v>
      </c>
      <c r="G655" s="15">
        <v>1</v>
      </c>
      <c r="H655" s="11">
        <v>3319.6203999999998</v>
      </c>
      <c r="I655" s="12">
        <v>0</v>
      </c>
      <c r="J655" s="11">
        <v>3319.6203999999998</v>
      </c>
      <c r="K655" s="11">
        <v>902.77019999999993</v>
      </c>
      <c r="L655" s="10" t="s">
        <v>23</v>
      </c>
      <c r="M655" s="5">
        <f t="shared" si="60"/>
        <v>2025</v>
      </c>
      <c r="N655" s="5">
        <f t="shared" si="61"/>
        <v>11</v>
      </c>
      <c r="O655" s="21">
        <f t="shared" si="62"/>
        <v>45962</v>
      </c>
      <c r="P655" s="13">
        <f t="shared" si="63"/>
        <v>0.27194982896237174</v>
      </c>
      <c r="Q655" s="5">
        <f t="shared" si="64"/>
        <v>202511</v>
      </c>
      <c r="R655" s="21">
        <f t="shared" si="65"/>
        <v>45962</v>
      </c>
    </row>
    <row r="656" spans="1:18" x14ac:dyDescent="0.25">
      <c r="A656" s="5" t="s">
        <v>1225</v>
      </c>
      <c r="B656" s="14">
        <v>45766</v>
      </c>
      <c r="C656" s="5" t="s">
        <v>308</v>
      </c>
      <c r="D656" s="10" t="s">
        <v>26</v>
      </c>
      <c r="E656" s="10" t="s">
        <v>151</v>
      </c>
      <c r="F656" s="10" t="s">
        <v>39</v>
      </c>
      <c r="G656" s="15">
        <v>2</v>
      </c>
      <c r="H656" s="11">
        <v>5938.9787999999999</v>
      </c>
      <c r="I656" s="12">
        <v>0</v>
      </c>
      <c r="J656" s="11">
        <v>11877.9576</v>
      </c>
      <c r="K656" s="11">
        <v>2971.3819999999996</v>
      </c>
      <c r="L656" s="10" t="s">
        <v>17</v>
      </c>
      <c r="M656" s="5">
        <f t="shared" si="60"/>
        <v>2025</v>
      </c>
      <c r="N656" s="5">
        <f t="shared" si="61"/>
        <v>4</v>
      </c>
      <c r="O656" s="21">
        <f t="shared" si="62"/>
        <v>45748</v>
      </c>
      <c r="P656" s="13">
        <f t="shared" si="63"/>
        <v>0.25015933715742511</v>
      </c>
      <c r="Q656" s="5">
        <f t="shared" si="64"/>
        <v>202504</v>
      </c>
      <c r="R656" s="21">
        <f t="shared" si="65"/>
        <v>45748</v>
      </c>
    </row>
    <row r="657" spans="1:18" x14ac:dyDescent="0.25">
      <c r="A657" s="5" t="s">
        <v>1226</v>
      </c>
      <c r="B657" s="14">
        <v>45852</v>
      </c>
      <c r="C657" s="5" t="s">
        <v>1227</v>
      </c>
      <c r="D657" s="10" t="s">
        <v>20</v>
      </c>
      <c r="E657" s="10" t="s">
        <v>83</v>
      </c>
      <c r="F657" s="10" t="s">
        <v>22</v>
      </c>
      <c r="G657" s="15">
        <v>1</v>
      </c>
      <c r="H657" s="11">
        <v>1841.4998000000001</v>
      </c>
      <c r="I657" s="12">
        <v>0</v>
      </c>
      <c r="J657" s="11">
        <v>1841.4998000000001</v>
      </c>
      <c r="K657" s="11">
        <v>974.68899999999996</v>
      </c>
      <c r="L657" s="10" t="s">
        <v>17</v>
      </c>
      <c r="M657" s="5">
        <f t="shared" si="60"/>
        <v>2025</v>
      </c>
      <c r="N657" s="5">
        <f t="shared" si="61"/>
        <v>7</v>
      </c>
      <c r="O657" s="21">
        <f t="shared" si="62"/>
        <v>45839</v>
      </c>
      <c r="P657" s="13">
        <f t="shared" si="63"/>
        <v>0.52929085303186019</v>
      </c>
      <c r="Q657" s="5">
        <f t="shared" si="64"/>
        <v>202507</v>
      </c>
      <c r="R657" s="21">
        <f t="shared" si="65"/>
        <v>45839</v>
      </c>
    </row>
    <row r="658" spans="1:18" x14ac:dyDescent="0.25">
      <c r="A658" s="5" t="s">
        <v>1228</v>
      </c>
      <c r="B658" s="14">
        <v>45952</v>
      </c>
      <c r="C658" s="5" t="s">
        <v>1229</v>
      </c>
      <c r="D658" s="10" t="s">
        <v>37</v>
      </c>
      <c r="E658" s="10" t="s">
        <v>91</v>
      </c>
      <c r="F658" s="10" t="s">
        <v>49</v>
      </c>
      <c r="G658" s="15">
        <v>2</v>
      </c>
      <c r="H658" s="11">
        <v>5030.5307999999995</v>
      </c>
      <c r="I658" s="12">
        <v>10</v>
      </c>
      <c r="J658" s="11">
        <v>9055.1446999999989</v>
      </c>
      <c r="K658" s="11">
        <v>4956.7194</v>
      </c>
      <c r="L658" s="10" t="s">
        <v>23</v>
      </c>
      <c r="M658" s="5">
        <f t="shared" si="60"/>
        <v>2025</v>
      </c>
      <c r="N658" s="5">
        <f t="shared" si="61"/>
        <v>10</v>
      </c>
      <c r="O658" s="21">
        <f t="shared" si="62"/>
        <v>45931</v>
      </c>
      <c r="P658" s="13">
        <f t="shared" si="63"/>
        <v>0.54739262200856942</v>
      </c>
      <c r="Q658" s="5">
        <f t="shared" si="64"/>
        <v>202510</v>
      </c>
      <c r="R658" s="21">
        <f t="shared" si="65"/>
        <v>45931</v>
      </c>
    </row>
    <row r="659" spans="1:18" x14ac:dyDescent="0.25">
      <c r="A659" s="5" t="s">
        <v>1230</v>
      </c>
      <c r="B659" s="14">
        <v>45634</v>
      </c>
      <c r="C659" s="5" t="s">
        <v>590</v>
      </c>
      <c r="D659" s="10" t="s">
        <v>42</v>
      </c>
      <c r="E659" s="10" t="s">
        <v>94</v>
      </c>
      <c r="F659" s="10" t="s">
        <v>75</v>
      </c>
      <c r="G659" s="15">
        <v>1</v>
      </c>
      <c r="H659" s="11">
        <v>4419.2210000000005</v>
      </c>
      <c r="I659" s="12">
        <v>15</v>
      </c>
      <c r="J659" s="11">
        <v>3756.8110000000001</v>
      </c>
      <c r="K659" s="11">
        <v>1254.7937999999999</v>
      </c>
      <c r="L659" s="10" t="s">
        <v>23</v>
      </c>
      <c r="M659" s="5">
        <f t="shared" si="60"/>
        <v>2024</v>
      </c>
      <c r="N659" s="5">
        <f t="shared" si="61"/>
        <v>12</v>
      </c>
      <c r="O659" s="21">
        <f t="shared" si="62"/>
        <v>45627</v>
      </c>
      <c r="P659" s="13">
        <f t="shared" si="63"/>
        <v>0.33400503778337526</v>
      </c>
      <c r="Q659" s="5">
        <f t="shared" si="64"/>
        <v>202412</v>
      </c>
      <c r="R659" s="21">
        <f t="shared" si="65"/>
        <v>45627</v>
      </c>
    </row>
    <row r="660" spans="1:18" x14ac:dyDescent="0.25">
      <c r="A660" s="5" t="s">
        <v>1231</v>
      </c>
      <c r="B660" s="14">
        <v>45627</v>
      </c>
      <c r="C660" s="5" t="s">
        <v>435</v>
      </c>
      <c r="D660" s="10" t="s">
        <v>26</v>
      </c>
      <c r="E660" s="10" t="s">
        <v>187</v>
      </c>
      <c r="F660" s="10" t="s">
        <v>75</v>
      </c>
      <c r="G660" s="15">
        <v>5</v>
      </c>
      <c r="H660" s="11">
        <v>1623.8507999999999</v>
      </c>
      <c r="I660" s="12">
        <v>0</v>
      </c>
      <c r="J660" s="11">
        <v>8119.253999999999</v>
      </c>
      <c r="K660" s="11">
        <v>2166.0807</v>
      </c>
      <c r="L660" s="10" t="s">
        <v>17</v>
      </c>
      <c r="M660" s="5">
        <f t="shared" si="60"/>
        <v>2024</v>
      </c>
      <c r="N660" s="5">
        <f t="shared" si="61"/>
        <v>12</v>
      </c>
      <c r="O660" s="21">
        <f t="shared" si="62"/>
        <v>45627</v>
      </c>
      <c r="P660" s="13">
        <f t="shared" si="63"/>
        <v>0.26678321678321681</v>
      </c>
      <c r="Q660" s="5">
        <f t="shared" si="64"/>
        <v>202412</v>
      </c>
      <c r="R660" s="21">
        <f t="shared" si="65"/>
        <v>45627</v>
      </c>
    </row>
    <row r="661" spans="1:18" x14ac:dyDescent="0.25">
      <c r="A661" s="5" t="s">
        <v>1232</v>
      </c>
      <c r="B661" s="14">
        <v>45964</v>
      </c>
      <c r="C661" s="5" t="s">
        <v>1233</v>
      </c>
      <c r="D661" s="10" t="s">
        <v>37</v>
      </c>
      <c r="E661" s="10" t="s">
        <v>38</v>
      </c>
      <c r="F661" s="10" t="s">
        <v>39</v>
      </c>
      <c r="G661" s="15">
        <v>4</v>
      </c>
      <c r="H661" s="11">
        <v>6967.6068999999989</v>
      </c>
      <c r="I661" s="12">
        <v>20</v>
      </c>
      <c r="J661" s="11">
        <v>22296.720600000001</v>
      </c>
      <c r="K661" s="11">
        <v>8278.2324000000008</v>
      </c>
      <c r="L661" s="10" t="s">
        <v>17</v>
      </c>
      <c r="M661" s="5">
        <f t="shared" si="60"/>
        <v>2025</v>
      </c>
      <c r="N661" s="5">
        <f t="shared" si="61"/>
        <v>11</v>
      </c>
      <c r="O661" s="21">
        <f t="shared" si="62"/>
        <v>45962</v>
      </c>
      <c r="P661" s="13">
        <f t="shared" si="63"/>
        <v>0.37127578304048897</v>
      </c>
      <c r="Q661" s="5">
        <f t="shared" si="64"/>
        <v>202511</v>
      </c>
      <c r="R661" s="21">
        <f t="shared" si="65"/>
        <v>45962</v>
      </c>
    </row>
    <row r="662" spans="1:18" x14ac:dyDescent="0.25">
      <c r="A662" s="5" t="s">
        <v>1234</v>
      </c>
      <c r="B662" s="14">
        <v>45547</v>
      </c>
      <c r="C662" s="5" t="s">
        <v>1235</v>
      </c>
      <c r="D662" s="10" t="s">
        <v>42</v>
      </c>
      <c r="E662" s="10" t="s">
        <v>108</v>
      </c>
      <c r="F662" s="10" t="s">
        <v>75</v>
      </c>
      <c r="G662" s="15">
        <v>4</v>
      </c>
      <c r="H662" s="11">
        <v>5069.3290999999999</v>
      </c>
      <c r="I662" s="12">
        <v>15</v>
      </c>
      <c r="J662" s="11">
        <v>17235.908199999998</v>
      </c>
      <c r="K662" s="11">
        <v>4007.5805</v>
      </c>
      <c r="L662" s="10" t="s">
        <v>23</v>
      </c>
      <c r="M662" s="5">
        <f t="shared" si="60"/>
        <v>2024</v>
      </c>
      <c r="N662" s="5">
        <f t="shared" si="61"/>
        <v>9</v>
      </c>
      <c r="O662" s="21">
        <f t="shared" si="62"/>
        <v>45536</v>
      </c>
      <c r="P662" s="13">
        <f t="shared" si="63"/>
        <v>0.23251345119139127</v>
      </c>
      <c r="Q662" s="5">
        <f t="shared" si="64"/>
        <v>202409</v>
      </c>
      <c r="R662" s="21">
        <f t="shared" si="65"/>
        <v>45536</v>
      </c>
    </row>
    <row r="663" spans="1:18" x14ac:dyDescent="0.25">
      <c r="A663" s="5" t="s">
        <v>1236</v>
      </c>
      <c r="B663" s="14">
        <v>45830</v>
      </c>
      <c r="C663" s="5" t="s">
        <v>1237</v>
      </c>
      <c r="D663" s="10" t="s">
        <v>20</v>
      </c>
      <c r="E663" s="10" t="s">
        <v>27</v>
      </c>
      <c r="F663" s="10" t="s">
        <v>22</v>
      </c>
      <c r="G663" s="15">
        <v>2</v>
      </c>
      <c r="H663" s="11">
        <v>3012.0728999999997</v>
      </c>
      <c r="I663" s="12">
        <v>0</v>
      </c>
      <c r="J663" s="11">
        <v>6024.1457999999993</v>
      </c>
      <c r="K663" s="11">
        <v>3523.0748999999996</v>
      </c>
      <c r="L663" s="10" t="s">
        <v>17</v>
      </c>
      <c r="M663" s="5">
        <f t="shared" si="60"/>
        <v>2025</v>
      </c>
      <c r="N663" s="5">
        <f t="shared" si="61"/>
        <v>6</v>
      </c>
      <c r="O663" s="21">
        <f t="shared" si="62"/>
        <v>45809</v>
      </c>
      <c r="P663" s="13">
        <f t="shared" si="63"/>
        <v>0.58482563619227146</v>
      </c>
      <c r="Q663" s="5">
        <f t="shared" si="64"/>
        <v>202506</v>
      </c>
      <c r="R663" s="21">
        <f t="shared" si="65"/>
        <v>45809</v>
      </c>
    </row>
    <row r="664" spans="1:18" x14ac:dyDescent="0.25">
      <c r="A664" s="5" t="s">
        <v>1238</v>
      </c>
      <c r="B664" s="14">
        <v>45628</v>
      </c>
      <c r="C664" s="5" t="s">
        <v>1036</v>
      </c>
      <c r="D664" s="10" t="s">
        <v>37</v>
      </c>
      <c r="E664" s="10" t="s">
        <v>91</v>
      </c>
      <c r="F664" s="10" t="s">
        <v>49</v>
      </c>
      <c r="G664" s="15">
        <v>2</v>
      </c>
      <c r="H664" s="11">
        <v>7858.0752000000002</v>
      </c>
      <c r="I664" s="12">
        <v>20</v>
      </c>
      <c r="J664" s="11">
        <v>12572.541800000001</v>
      </c>
      <c r="K664" s="11">
        <v>6074.2996999999996</v>
      </c>
      <c r="L664" s="10" t="s">
        <v>23</v>
      </c>
      <c r="M664" s="5">
        <f t="shared" si="60"/>
        <v>2024</v>
      </c>
      <c r="N664" s="5">
        <f t="shared" si="61"/>
        <v>12</v>
      </c>
      <c r="O664" s="21">
        <f t="shared" si="62"/>
        <v>45627</v>
      </c>
      <c r="P664" s="13">
        <f t="shared" si="63"/>
        <v>0.4831401475237091</v>
      </c>
      <c r="Q664" s="5">
        <f t="shared" si="64"/>
        <v>202412</v>
      </c>
      <c r="R664" s="21">
        <f t="shared" si="65"/>
        <v>45627</v>
      </c>
    </row>
    <row r="665" spans="1:18" x14ac:dyDescent="0.25">
      <c r="A665" s="5" t="s">
        <v>1239</v>
      </c>
      <c r="B665" s="14">
        <v>45901</v>
      </c>
      <c r="C665" s="5" t="s">
        <v>1240</v>
      </c>
      <c r="D665" s="10" t="s">
        <v>26</v>
      </c>
      <c r="E665" s="10" t="s">
        <v>33</v>
      </c>
      <c r="F665" s="10" t="s">
        <v>16</v>
      </c>
      <c r="G665" s="15">
        <v>1</v>
      </c>
      <c r="H665" s="11">
        <v>3365.0428000000002</v>
      </c>
      <c r="I665" s="12">
        <v>5</v>
      </c>
      <c r="J665" s="11">
        <v>3196.6014</v>
      </c>
      <c r="K665" s="11">
        <v>692.69159999999999</v>
      </c>
      <c r="L665" s="10" t="s">
        <v>17</v>
      </c>
      <c r="M665" s="5">
        <f t="shared" si="60"/>
        <v>2025</v>
      </c>
      <c r="N665" s="5">
        <f t="shared" si="61"/>
        <v>9</v>
      </c>
      <c r="O665" s="21">
        <f t="shared" si="62"/>
        <v>45901</v>
      </c>
      <c r="P665" s="13">
        <f t="shared" si="63"/>
        <v>0.21669626998223801</v>
      </c>
      <c r="Q665" s="5">
        <f t="shared" si="64"/>
        <v>202509</v>
      </c>
      <c r="R665" s="21">
        <f t="shared" si="65"/>
        <v>45901</v>
      </c>
    </row>
    <row r="666" spans="1:18" x14ac:dyDescent="0.25">
      <c r="A666" s="5" t="s">
        <v>1241</v>
      </c>
      <c r="B666" s="14">
        <v>45644</v>
      </c>
      <c r="C666" s="5" t="s">
        <v>846</v>
      </c>
      <c r="D666" s="10" t="s">
        <v>26</v>
      </c>
      <c r="E666" s="10" t="s">
        <v>21</v>
      </c>
      <c r="F666" s="10" t="s">
        <v>22</v>
      </c>
      <c r="G666" s="15">
        <v>1</v>
      </c>
      <c r="H666" s="11">
        <v>4031.2379999999998</v>
      </c>
      <c r="I666" s="12">
        <v>10</v>
      </c>
      <c r="J666" s="11">
        <v>3628.1142</v>
      </c>
      <c r="K666" s="11">
        <v>1947.4853999999998</v>
      </c>
      <c r="L666" s="10" t="s">
        <v>17</v>
      </c>
      <c r="M666" s="5">
        <f t="shared" si="60"/>
        <v>2024</v>
      </c>
      <c r="N666" s="5">
        <f t="shared" si="61"/>
        <v>12</v>
      </c>
      <c r="O666" s="21">
        <f t="shared" si="62"/>
        <v>45627</v>
      </c>
      <c r="P666" s="13">
        <f t="shared" si="63"/>
        <v>0.53677621283255084</v>
      </c>
      <c r="Q666" s="5">
        <f t="shared" si="64"/>
        <v>202412</v>
      </c>
      <c r="R666" s="21">
        <f t="shared" si="65"/>
        <v>45627</v>
      </c>
    </row>
    <row r="667" spans="1:18" x14ac:dyDescent="0.25">
      <c r="A667" s="5" t="s">
        <v>1242</v>
      </c>
      <c r="B667" s="14">
        <v>45905</v>
      </c>
      <c r="C667" s="5" t="s">
        <v>1243</v>
      </c>
      <c r="D667" s="10" t="s">
        <v>26</v>
      </c>
      <c r="E667" s="10" t="s">
        <v>27</v>
      </c>
      <c r="F667" s="10" t="s">
        <v>22</v>
      </c>
      <c r="G667" s="15">
        <v>2</v>
      </c>
      <c r="H667" s="11">
        <v>2858.7723000000001</v>
      </c>
      <c r="I667" s="12">
        <v>0</v>
      </c>
      <c r="J667" s="11">
        <v>5717.5446000000002</v>
      </c>
      <c r="K667" s="11">
        <v>2847.4166999999998</v>
      </c>
      <c r="L667" s="10" t="s">
        <v>17</v>
      </c>
      <c r="M667" s="5">
        <f t="shared" si="60"/>
        <v>2025</v>
      </c>
      <c r="N667" s="5">
        <f t="shared" si="61"/>
        <v>9</v>
      </c>
      <c r="O667" s="21">
        <f t="shared" si="62"/>
        <v>45901</v>
      </c>
      <c r="P667" s="13">
        <f t="shared" si="63"/>
        <v>0.4980139026812313</v>
      </c>
      <c r="Q667" s="5">
        <f t="shared" si="64"/>
        <v>202509</v>
      </c>
      <c r="R667" s="21">
        <f t="shared" si="65"/>
        <v>45901</v>
      </c>
    </row>
    <row r="668" spans="1:18" x14ac:dyDescent="0.25">
      <c r="A668" s="5" t="s">
        <v>1244</v>
      </c>
      <c r="B668" s="14">
        <v>45751</v>
      </c>
      <c r="C668" s="5" t="s">
        <v>1245</v>
      </c>
      <c r="D668" s="10" t="s">
        <v>20</v>
      </c>
      <c r="E668" s="10" t="s">
        <v>253</v>
      </c>
      <c r="F668" s="10" t="s">
        <v>49</v>
      </c>
      <c r="G668" s="15">
        <v>1</v>
      </c>
      <c r="H668" s="11">
        <v>1596.4081000000001</v>
      </c>
      <c r="I668" s="12">
        <v>5</v>
      </c>
      <c r="J668" s="11">
        <v>1516.9189000000001</v>
      </c>
      <c r="K668" s="11">
        <v>731.48990000000003</v>
      </c>
      <c r="L668" s="10" t="s">
        <v>23</v>
      </c>
      <c r="M668" s="5">
        <f t="shared" si="60"/>
        <v>2025</v>
      </c>
      <c r="N668" s="5">
        <f t="shared" si="61"/>
        <v>4</v>
      </c>
      <c r="O668" s="21">
        <f t="shared" si="62"/>
        <v>45748</v>
      </c>
      <c r="P668" s="13">
        <f t="shared" si="63"/>
        <v>0.48222083593262632</v>
      </c>
      <c r="Q668" s="5">
        <f t="shared" si="64"/>
        <v>202504</v>
      </c>
      <c r="R668" s="21">
        <f t="shared" si="65"/>
        <v>45748</v>
      </c>
    </row>
    <row r="669" spans="1:18" x14ac:dyDescent="0.25">
      <c r="A669" s="5" t="s">
        <v>1246</v>
      </c>
      <c r="B669" s="14">
        <v>45906</v>
      </c>
      <c r="C669" s="5" t="s">
        <v>153</v>
      </c>
      <c r="D669" s="10" t="s">
        <v>37</v>
      </c>
      <c r="E669" s="10" t="s">
        <v>43</v>
      </c>
      <c r="F669" s="10" t="s">
        <v>22</v>
      </c>
      <c r="G669" s="15">
        <v>2</v>
      </c>
      <c r="H669" s="11">
        <v>4335.0002999999997</v>
      </c>
      <c r="I669" s="12">
        <v>15</v>
      </c>
      <c r="J669" s="11">
        <v>7369.7843999999996</v>
      </c>
      <c r="K669" s="11">
        <v>3850.4946999999997</v>
      </c>
      <c r="L669" s="10" t="s">
        <v>17</v>
      </c>
      <c r="M669" s="5">
        <f t="shared" si="60"/>
        <v>2025</v>
      </c>
      <c r="N669" s="5">
        <f t="shared" si="61"/>
        <v>9</v>
      </c>
      <c r="O669" s="21">
        <f t="shared" si="62"/>
        <v>45901</v>
      </c>
      <c r="P669" s="13">
        <f t="shared" si="63"/>
        <v>0.52247046738572167</v>
      </c>
      <c r="Q669" s="5">
        <f t="shared" si="64"/>
        <v>202509</v>
      </c>
      <c r="R669" s="21">
        <f t="shared" si="65"/>
        <v>45901</v>
      </c>
    </row>
    <row r="670" spans="1:18" x14ac:dyDescent="0.25">
      <c r="A670" s="5" t="s">
        <v>1247</v>
      </c>
      <c r="B670" s="14">
        <v>45876</v>
      </c>
      <c r="C670" s="5" t="s">
        <v>1248</v>
      </c>
      <c r="D670" s="10" t="s">
        <v>20</v>
      </c>
      <c r="E670" s="10" t="s">
        <v>43</v>
      </c>
      <c r="F670" s="10" t="s">
        <v>22</v>
      </c>
      <c r="G670" s="15">
        <v>2</v>
      </c>
      <c r="H670" s="11">
        <v>4478.8378999999995</v>
      </c>
      <c r="I670" s="12">
        <v>15</v>
      </c>
      <c r="J670" s="11">
        <v>7613.929799999999</v>
      </c>
      <c r="K670" s="11">
        <v>3103.8639999999996</v>
      </c>
      <c r="L670" s="10" t="s">
        <v>34</v>
      </c>
      <c r="M670" s="5">
        <f t="shared" si="60"/>
        <v>2025</v>
      </c>
      <c r="N670" s="5">
        <f t="shared" si="61"/>
        <v>8</v>
      </c>
      <c r="O670" s="21">
        <f t="shared" si="62"/>
        <v>45870</v>
      </c>
      <c r="P670" s="13">
        <f t="shared" si="63"/>
        <v>0.40765597812577681</v>
      </c>
      <c r="Q670" s="5">
        <f t="shared" si="64"/>
        <v>202508</v>
      </c>
      <c r="R670" s="21">
        <f t="shared" si="65"/>
        <v>45870</v>
      </c>
    </row>
    <row r="671" spans="1:18" x14ac:dyDescent="0.25">
      <c r="A671" s="5" t="s">
        <v>1249</v>
      </c>
      <c r="B671" s="14">
        <v>45641</v>
      </c>
      <c r="C671" s="5" t="s">
        <v>1250</v>
      </c>
      <c r="D671" s="10" t="s">
        <v>20</v>
      </c>
      <c r="E671" s="10" t="s">
        <v>232</v>
      </c>
      <c r="F671" s="10" t="s">
        <v>22</v>
      </c>
      <c r="G671" s="15">
        <v>3</v>
      </c>
      <c r="H671" s="11">
        <v>1506.5095999999999</v>
      </c>
      <c r="I671" s="12">
        <v>5</v>
      </c>
      <c r="J671" s="11">
        <v>4293.3630999999996</v>
      </c>
      <c r="K671" s="11">
        <v>2696.9549999999999</v>
      </c>
      <c r="L671" s="10" t="s">
        <v>23</v>
      </c>
      <c r="M671" s="5">
        <f t="shared" si="60"/>
        <v>2024</v>
      </c>
      <c r="N671" s="5">
        <f t="shared" si="61"/>
        <v>12</v>
      </c>
      <c r="O671" s="21">
        <f t="shared" si="62"/>
        <v>45627</v>
      </c>
      <c r="P671" s="13">
        <f t="shared" si="63"/>
        <v>0.62816839321137319</v>
      </c>
      <c r="Q671" s="5">
        <f t="shared" si="64"/>
        <v>202412</v>
      </c>
      <c r="R671" s="21">
        <f t="shared" si="65"/>
        <v>45627</v>
      </c>
    </row>
    <row r="672" spans="1:18" x14ac:dyDescent="0.25">
      <c r="A672" s="5" t="s">
        <v>1251</v>
      </c>
      <c r="B672" s="14">
        <v>45466</v>
      </c>
      <c r="C672" s="5" t="s">
        <v>372</v>
      </c>
      <c r="D672" s="10" t="s">
        <v>14</v>
      </c>
      <c r="E672" s="10" t="s">
        <v>253</v>
      </c>
      <c r="F672" s="10" t="s">
        <v>49</v>
      </c>
      <c r="G672" s="15">
        <v>2</v>
      </c>
      <c r="H672" s="11">
        <v>4198.7330999999995</v>
      </c>
      <c r="I672" s="12">
        <v>25</v>
      </c>
      <c r="J672" s="11">
        <v>6297.6264999999994</v>
      </c>
      <c r="K672" s="11">
        <v>1919.0963999999999</v>
      </c>
      <c r="L672" s="10" t="s">
        <v>17</v>
      </c>
      <c r="M672" s="5">
        <f t="shared" si="60"/>
        <v>2024</v>
      </c>
      <c r="N672" s="5">
        <f t="shared" si="61"/>
        <v>6</v>
      </c>
      <c r="O672" s="21">
        <f t="shared" si="62"/>
        <v>45444</v>
      </c>
      <c r="P672" s="13">
        <f t="shared" si="63"/>
        <v>0.30473328324567994</v>
      </c>
      <c r="Q672" s="5">
        <f t="shared" si="64"/>
        <v>202406</v>
      </c>
      <c r="R672" s="21">
        <f t="shared" si="65"/>
        <v>45444</v>
      </c>
    </row>
    <row r="673" spans="1:18" x14ac:dyDescent="0.25">
      <c r="A673" s="5" t="s">
        <v>1252</v>
      </c>
      <c r="B673" s="14">
        <v>46007</v>
      </c>
      <c r="C673" s="5" t="s">
        <v>980</v>
      </c>
      <c r="D673" s="10" t="s">
        <v>14</v>
      </c>
      <c r="E673" s="10" t="s">
        <v>74</v>
      </c>
      <c r="F673" s="10" t="s">
        <v>75</v>
      </c>
      <c r="G673" s="15">
        <v>2</v>
      </c>
      <c r="H673" s="11">
        <v>1080.6746000000001</v>
      </c>
      <c r="I673" s="12">
        <v>0</v>
      </c>
      <c r="J673" s="11">
        <v>2161.3492000000001</v>
      </c>
      <c r="K673" s="11">
        <v>641.59140000000002</v>
      </c>
      <c r="L673" s="10" t="s">
        <v>23</v>
      </c>
      <c r="M673" s="5">
        <f t="shared" si="60"/>
        <v>2025</v>
      </c>
      <c r="N673" s="5">
        <f t="shared" si="61"/>
        <v>12</v>
      </c>
      <c r="O673" s="21">
        <f t="shared" si="62"/>
        <v>45992</v>
      </c>
      <c r="P673" s="13">
        <f t="shared" si="63"/>
        <v>0.29684763572679507</v>
      </c>
      <c r="Q673" s="5">
        <f t="shared" si="64"/>
        <v>202512</v>
      </c>
      <c r="R673" s="21">
        <f t="shared" si="65"/>
        <v>45992</v>
      </c>
    </row>
    <row r="674" spans="1:18" x14ac:dyDescent="0.25">
      <c r="A674" s="5" t="s">
        <v>1253</v>
      </c>
      <c r="B674" s="14">
        <v>45993</v>
      </c>
      <c r="C674" s="5" t="s">
        <v>1107</v>
      </c>
      <c r="D674" s="10" t="s">
        <v>26</v>
      </c>
      <c r="E674" s="10" t="s">
        <v>184</v>
      </c>
      <c r="F674" s="10" t="s">
        <v>49</v>
      </c>
      <c r="G674" s="15">
        <v>2</v>
      </c>
      <c r="H674" s="11">
        <v>1863.2646999999999</v>
      </c>
      <c r="I674" s="12">
        <v>5</v>
      </c>
      <c r="J674" s="11">
        <v>3540.1082999999994</v>
      </c>
      <c r="K674" s="11">
        <v>1835.8219999999999</v>
      </c>
      <c r="L674" s="10" t="s">
        <v>17</v>
      </c>
      <c r="M674" s="5">
        <f t="shared" si="60"/>
        <v>2025</v>
      </c>
      <c r="N674" s="5">
        <f t="shared" si="61"/>
        <v>12</v>
      </c>
      <c r="O674" s="21">
        <f t="shared" si="62"/>
        <v>45992</v>
      </c>
      <c r="P674" s="13">
        <f t="shared" si="63"/>
        <v>0.51857792034215455</v>
      </c>
      <c r="Q674" s="5">
        <f t="shared" si="64"/>
        <v>202512</v>
      </c>
      <c r="R674" s="21">
        <f t="shared" si="65"/>
        <v>45992</v>
      </c>
    </row>
    <row r="675" spans="1:18" x14ac:dyDescent="0.25">
      <c r="A675" s="5" t="s">
        <v>1254</v>
      </c>
      <c r="B675" s="14">
        <v>45631</v>
      </c>
      <c r="C675" s="5" t="s">
        <v>1255</v>
      </c>
      <c r="D675" s="10" t="s">
        <v>14</v>
      </c>
      <c r="E675" s="10" t="s">
        <v>61</v>
      </c>
      <c r="F675" s="10" t="s">
        <v>39</v>
      </c>
      <c r="G675" s="15">
        <v>4</v>
      </c>
      <c r="H675" s="11">
        <v>965.22599999999989</v>
      </c>
      <c r="I675" s="12">
        <v>20</v>
      </c>
      <c r="J675" s="11">
        <v>3088.7231999999999</v>
      </c>
      <c r="K675" s="11">
        <v>944.40739999999994</v>
      </c>
      <c r="L675" s="10" t="s">
        <v>17</v>
      </c>
      <c r="M675" s="5">
        <f t="shared" si="60"/>
        <v>2024</v>
      </c>
      <c r="N675" s="5">
        <f t="shared" si="61"/>
        <v>12</v>
      </c>
      <c r="O675" s="21">
        <f t="shared" si="62"/>
        <v>45627</v>
      </c>
      <c r="P675" s="13">
        <f t="shared" si="63"/>
        <v>0.3057598039215686</v>
      </c>
      <c r="Q675" s="5">
        <f t="shared" si="64"/>
        <v>202412</v>
      </c>
      <c r="R675" s="21">
        <f t="shared" si="65"/>
        <v>45627</v>
      </c>
    </row>
    <row r="676" spans="1:18" x14ac:dyDescent="0.25">
      <c r="A676" s="5" t="s">
        <v>1256</v>
      </c>
      <c r="B676" s="14">
        <v>45994</v>
      </c>
      <c r="C676" s="5" t="s">
        <v>1257</v>
      </c>
      <c r="D676" s="10" t="s">
        <v>26</v>
      </c>
      <c r="E676" s="10" t="s">
        <v>105</v>
      </c>
      <c r="F676" s="10" t="s">
        <v>39</v>
      </c>
      <c r="G676" s="15">
        <v>2</v>
      </c>
      <c r="H676" s="11">
        <v>3230.6682000000001</v>
      </c>
      <c r="I676" s="12">
        <v>10</v>
      </c>
      <c r="J676" s="11">
        <v>5815.0135</v>
      </c>
      <c r="K676" s="11">
        <v>1717.5344999999998</v>
      </c>
      <c r="L676" s="10" t="s">
        <v>17</v>
      </c>
      <c r="M676" s="5">
        <f t="shared" si="60"/>
        <v>2025</v>
      </c>
      <c r="N676" s="5">
        <f t="shared" si="61"/>
        <v>12</v>
      </c>
      <c r="O676" s="21">
        <f t="shared" si="62"/>
        <v>45992</v>
      </c>
      <c r="P676" s="13">
        <f t="shared" si="63"/>
        <v>0.29536208299430428</v>
      </c>
      <c r="Q676" s="5">
        <f t="shared" si="64"/>
        <v>202512</v>
      </c>
      <c r="R676" s="21">
        <f t="shared" si="65"/>
        <v>45992</v>
      </c>
    </row>
    <row r="677" spans="1:18" x14ac:dyDescent="0.25">
      <c r="A677" s="5" t="s">
        <v>1258</v>
      </c>
      <c r="B677" s="14">
        <v>45705</v>
      </c>
      <c r="C677" s="5" t="s">
        <v>1259</v>
      </c>
      <c r="D677" s="10" t="s">
        <v>26</v>
      </c>
      <c r="E677" s="10" t="s">
        <v>502</v>
      </c>
      <c r="F677" s="10" t="s">
        <v>22</v>
      </c>
      <c r="G677" s="15">
        <v>1</v>
      </c>
      <c r="H677" s="11">
        <v>1175.3045999999999</v>
      </c>
      <c r="I677" s="12">
        <v>0</v>
      </c>
      <c r="J677" s="11">
        <v>1175.3045999999999</v>
      </c>
      <c r="K677" s="11">
        <v>571.5652</v>
      </c>
      <c r="L677" s="10" t="s">
        <v>17</v>
      </c>
      <c r="M677" s="5">
        <f t="shared" si="60"/>
        <v>2025</v>
      </c>
      <c r="N677" s="5">
        <f t="shared" si="61"/>
        <v>2</v>
      </c>
      <c r="O677" s="21">
        <f t="shared" si="62"/>
        <v>45689</v>
      </c>
      <c r="P677" s="13">
        <f t="shared" si="63"/>
        <v>0.48631239935587767</v>
      </c>
      <c r="Q677" s="5">
        <f t="shared" si="64"/>
        <v>202502</v>
      </c>
      <c r="R677" s="21">
        <f t="shared" si="65"/>
        <v>45689</v>
      </c>
    </row>
    <row r="678" spans="1:18" x14ac:dyDescent="0.25">
      <c r="A678" s="5" t="s">
        <v>1260</v>
      </c>
      <c r="B678" s="14">
        <v>45404</v>
      </c>
      <c r="C678" s="5" t="s">
        <v>1261</v>
      </c>
      <c r="D678" s="10" t="s">
        <v>20</v>
      </c>
      <c r="E678" s="10" t="s">
        <v>253</v>
      </c>
      <c r="F678" s="10" t="s">
        <v>49</v>
      </c>
      <c r="G678" s="15">
        <v>1</v>
      </c>
      <c r="H678" s="11">
        <v>5975.8844999999992</v>
      </c>
      <c r="I678" s="12">
        <v>25</v>
      </c>
      <c r="J678" s="11">
        <v>4481.6768000000002</v>
      </c>
      <c r="K678" s="11">
        <v>2366.6963000000001</v>
      </c>
      <c r="L678" s="10" t="s">
        <v>23</v>
      </c>
      <c r="M678" s="5">
        <f t="shared" si="60"/>
        <v>2024</v>
      </c>
      <c r="N678" s="5">
        <f t="shared" si="61"/>
        <v>4</v>
      </c>
      <c r="O678" s="21">
        <f t="shared" si="62"/>
        <v>45383</v>
      </c>
      <c r="P678" s="13">
        <f t="shared" si="63"/>
        <v>0.52808277027027029</v>
      </c>
      <c r="Q678" s="5">
        <f t="shared" si="64"/>
        <v>202404</v>
      </c>
      <c r="R678" s="21">
        <f t="shared" si="65"/>
        <v>45383</v>
      </c>
    </row>
    <row r="679" spans="1:18" x14ac:dyDescent="0.25">
      <c r="A679" s="5" t="s">
        <v>1262</v>
      </c>
      <c r="B679" s="14">
        <v>45481</v>
      </c>
      <c r="C679" s="5" t="s">
        <v>1206</v>
      </c>
      <c r="D679" s="10" t="s">
        <v>26</v>
      </c>
      <c r="E679" s="10" t="s">
        <v>214</v>
      </c>
      <c r="F679" s="10" t="s">
        <v>49</v>
      </c>
      <c r="G679" s="15">
        <v>1</v>
      </c>
      <c r="H679" s="11">
        <v>8375.7013000000006</v>
      </c>
      <c r="I679" s="12">
        <v>5</v>
      </c>
      <c r="J679" s="11">
        <v>7956.4903999999997</v>
      </c>
      <c r="K679" s="11">
        <v>3589.3158999999996</v>
      </c>
      <c r="L679" s="10" t="s">
        <v>34</v>
      </c>
      <c r="M679" s="5">
        <f t="shared" si="60"/>
        <v>2024</v>
      </c>
      <c r="N679" s="5">
        <f t="shared" si="61"/>
        <v>7</v>
      </c>
      <c r="O679" s="21">
        <f t="shared" si="62"/>
        <v>45474</v>
      </c>
      <c r="P679" s="13">
        <f t="shared" si="63"/>
        <v>0.45111798287345384</v>
      </c>
      <c r="Q679" s="5">
        <f t="shared" si="64"/>
        <v>202407</v>
      </c>
      <c r="R679" s="21">
        <f t="shared" si="65"/>
        <v>45474</v>
      </c>
    </row>
    <row r="680" spans="1:18" x14ac:dyDescent="0.25">
      <c r="A680" s="5" t="s">
        <v>1263</v>
      </c>
      <c r="B680" s="14">
        <v>45420</v>
      </c>
      <c r="C680" s="5" t="s">
        <v>535</v>
      </c>
      <c r="D680" s="10" t="s">
        <v>14</v>
      </c>
      <c r="E680" s="10" t="s">
        <v>324</v>
      </c>
      <c r="F680" s="10" t="s">
        <v>16</v>
      </c>
      <c r="G680" s="15">
        <v>1</v>
      </c>
      <c r="H680" s="11">
        <v>2326.9517000000001</v>
      </c>
      <c r="I680" s="12">
        <v>0</v>
      </c>
      <c r="J680" s="11">
        <v>2326.9517000000001</v>
      </c>
      <c r="K680" s="11">
        <v>385.14409999999998</v>
      </c>
      <c r="L680" s="10" t="s">
        <v>34</v>
      </c>
      <c r="M680" s="5">
        <f t="shared" si="60"/>
        <v>2024</v>
      </c>
      <c r="N680" s="5">
        <f t="shared" si="61"/>
        <v>5</v>
      </c>
      <c r="O680" s="21">
        <f t="shared" si="62"/>
        <v>45413</v>
      </c>
      <c r="P680" s="13">
        <f t="shared" si="63"/>
        <v>0.16551443676291175</v>
      </c>
      <c r="Q680" s="5">
        <f t="shared" si="64"/>
        <v>202405</v>
      </c>
      <c r="R680" s="21">
        <f t="shared" si="65"/>
        <v>45413</v>
      </c>
    </row>
    <row r="681" spans="1:18" x14ac:dyDescent="0.25">
      <c r="A681" s="5" t="s">
        <v>1264</v>
      </c>
      <c r="B681" s="14">
        <v>45458</v>
      </c>
      <c r="C681" s="5" t="s">
        <v>1265</v>
      </c>
      <c r="D681" s="10" t="s">
        <v>20</v>
      </c>
      <c r="E681" s="10" t="s">
        <v>43</v>
      </c>
      <c r="F681" s="10" t="s">
        <v>22</v>
      </c>
      <c r="G681" s="15">
        <v>1</v>
      </c>
      <c r="H681" s="11">
        <v>4515.7435999999998</v>
      </c>
      <c r="I681" s="12">
        <v>15</v>
      </c>
      <c r="J681" s="11">
        <v>3838.1927999999998</v>
      </c>
      <c r="K681" s="11">
        <v>1727.9438</v>
      </c>
      <c r="L681" s="10" t="s">
        <v>17</v>
      </c>
      <c r="M681" s="5">
        <f t="shared" si="60"/>
        <v>2024</v>
      </c>
      <c r="N681" s="5">
        <f t="shared" si="61"/>
        <v>6</v>
      </c>
      <c r="O681" s="21">
        <f t="shared" si="62"/>
        <v>45444</v>
      </c>
      <c r="P681" s="13">
        <f t="shared" si="63"/>
        <v>0.45019723865877714</v>
      </c>
      <c r="Q681" s="5">
        <f t="shared" si="64"/>
        <v>202406</v>
      </c>
      <c r="R681" s="21">
        <f t="shared" si="65"/>
        <v>45444</v>
      </c>
    </row>
    <row r="682" spans="1:18" x14ac:dyDescent="0.25">
      <c r="A682" s="5" t="s">
        <v>1266</v>
      </c>
      <c r="B682" s="14">
        <v>45299</v>
      </c>
      <c r="C682" s="5" t="s">
        <v>1267</v>
      </c>
      <c r="D682" s="10" t="s">
        <v>42</v>
      </c>
      <c r="E682" s="10" t="s">
        <v>105</v>
      </c>
      <c r="F682" s="10" t="s">
        <v>39</v>
      </c>
      <c r="G682" s="15">
        <v>2</v>
      </c>
      <c r="H682" s="11">
        <v>7262.8525</v>
      </c>
      <c r="I682" s="12">
        <v>0</v>
      </c>
      <c r="J682" s="11">
        <v>14525.705</v>
      </c>
      <c r="K682" s="11">
        <v>5274.6761999999999</v>
      </c>
      <c r="L682" s="10" t="s">
        <v>23</v>
      </c>
      <c r="M682" s="5">
        <f t="shared" si="60"/>
        <v>2024</v>
      </c>
      <c r="N682" s="5">
        <f t="shared" si="61"/>
        <v>1</v>
      </c>
      <c r="O682" s="21">
        <f t="shared" si="62"/>
        <v>45292</v>
      </c>
      <c r="P682" s="13">
        <f t="shared" si="63"/>
        <v>0.36312703583061889</v>
      </c>
      <c r="Q682" s="5">
        <f t="shared" si="64"/>
        <v>202401</v>
      </c>
      <c r="R682" s="21">
        <f t="shared" si="65"/>
        <v>45292</v>
      </c>
    </row>
    <row r="683" spans="1:18" x14ac:dyDescent="0.25">
      <c r="A683" s="5" t="s">
        <v>1268</v>
      </c>
      <c r="B683" s="14">
        <v>45694</v>
      </c>
      <c r="C683" s="5" t="s">
        <v>1269</v>
      </c>
      <c r="D683" s="10" t="s">
        <v>42</v>
      </c>
      <c r="E683" s="10" t="s">
        <v>214</v>
      </c>
      <c r="F683" s="10" t="s">
        <v>49</v>
      </c>
      <c r="G683" s="15">
        <v>1</v>
      </c>
      <c r="H683" s="11">
        <v>8207.2598999999991</v>
      </c>
      <c r="I683" s="12">
        <v>15</v>
      </c>
      <c r="J683" s="11">
        <v>6976.1235999999999</v>
      </c>
      <c r="K683" s="11">
        <v>2619.3584000000001</v>
      </c>
      <c r="L683" s="10" t="s">
        <v>23</v>
      </c>
      <c r="M683" s="5">
        <f t="shared" si="60"/>
        <v>2025</v>
      </c>
      <c r="N683" s="5">
        <f t="shared" si="61"/>
        <v>2</v>
      </c>
      <c r="O683" s="21">
        <f t="shared" si="62"/>
        <v>45689</v>
      </c>
      <c r="P683" s="13">
        <f t="shared" si="63"/>
        <v>0.37547476939772112</v>
      </c>
      <c r="Q683" s="5">
        <f t="shared" si="64"/>
        <v>202502</v>
      </c>
      <c r="R683" s="21">
        <f t="shared" si="65"/>
        <v>45689</v>
      </c>
    </row>
    <row r="684" spans="1:18" x14ac:dyDescent="0.25">
      <c r="A684" s="5" t="s">
        <v>1270</v>
      </c>
      <c r="B684" s="14">
        <v>45630</v>
      </c>
      <c r="C684" s="5" t="s">
        <v>1271</v>
      </c>
      <c r="D684" s="10" t="s">
        <v>14</v>
      </c>
      <c r="E684" s="10" t="s">
        <v>43</v>
      </c>
      <c r="F684" s="10" t="s">
        <v>22</v>
      </c>
      <c r="G684" s="15">
        <v>2</v>
      </c>
      <c r="H684" s="11">
        <v>4264.0277999999998</v>
      </c>
      <c r="I684" s="12">
        <v>0</v>
      </c>
      <c r="J684" s="11">
        <v>8528.0555999999997</v>
      </c>
      <c r="K684" s="11">
        <v>4684.1849999999995</v>
      </c>
      <c r="L684" s="10" t="s">
        <v>17</v>
      </c>
      <c r="M684" s="5">
        <f t="shared" si="60"/>
        <v>2024</v>
      </c>
      <c r="N684" s="5">
        <f t="shared" si="61"/>
        <v>12</v>
      </c>
      <c r="O684" s="21">
        <f t="shared" si="62"/>
        <v>45627</v>
      </c>
      <c r="P684" s="13">
        <f t="shared" si="63"/>
        <v>0.54926764314247667</v>
      </c>
      <c r="Q684" s="5">
        <f t="shared" si="64"/>
        <v>202412</v>
      </c>
      <c r="R684" s="21">
        <f t="shared" si="65"/>
        <v>45627</v>
      </c>
    </row>
    <row r="685" spans="1:18" x14ac:dyDescent="0.25">
      <c r="A685" s="5" t="s">
        <v>1272</v>
      </c>
      <c r="B685" s="14">
        <v>45910</v>
      </c>
      <c r="C685" s="5" t="s">
        <v>1273</v>
      </c>
      <c r="D685" s="10" t="s">
        <v>14</v>
      </c>
      <c r="E685" s="10" t="s">
        <v>148</v>
      </c>
      <c r="F685" s="10" t="s">
        <v>16</v>
      </c>
      <c r="G685" s="15">
        <v>1</v>
      </c>
      <c r="H685" s="11">
        <v>6673.3075999999992</v>
      </c>
      <c r="I685" s="12">
        <v>20</v>
      </c>
      <c r="J685" s="11">
        <v>5339.0245999999997</v>
      </c>
      <c r="K685" s="11">
        <v>1060.8023000000001</v>
      </c>
      <c r="L685" s="10" t="s">
        <v>23</v>
      </c>
      <c r="M685" s="5">
        <f t="shared" si="60"/>
        <v>2025</v>
      </c>
      <c r="N685" s="5">
        <f t="shared" si="61"/>
        <v>9</v>
      </c>
      <c r="O685" s="21">
        <f t="shared" si="62"/>
        <v>45901</v>
      </c>
      <c r="P685" s="13">
        <f t="shared" si="63"/>
        <v>0.19868840836582774</v>
      </c>
      <c r="Q685" s="5">
        <f t="shared" si="64"/>
        <v>202509</v>
      </c>
      <c r="R685" s="21">
        <f t="shared" si="65"/>
        <v>45901</v>
      </c>
    </row>
    <row r="686" spans="1:18" x14ac:dyDescent="0.25">
      <c r="A686" s="5" t="s">
        <v>1274</v>
      </c>
      <c r="B686" s="14">
        <v>45904</v>
      </c>
      <c r="C686" s="5" t="s">
        <v>1275</v>
      </c>
      <c r="D686" s="10" t="s">
        <v>37</v>
      </c>
      <c r="E686" s="10" t="s">
        <v>291</v>
      </c>
      <c r="F686" s="10" t="s">
        <v>22</v>
      </c>
      <c r="G686" s="15">
        <v>1</v>
      </c>
      <c r="H686" s="11">
        <v>1813.1107999999999</v>
      </c>
      <c r="I686" s="12">
        <v>10</v>
      </c>
      <c r="J686" s="11">
        <v>1631.4211999999998</v>
      </c>
      <c r="K686" s="11">
        <v>1059.856</v>
      </c>
      <c r="L686" s="10" t="s">
        <v>17</v>
      </c>
      <c r="M686" s="5">
        <f t="shared" si="60"/>
        <v>2025</v>
      </c>
      <c r="N686" s="5">
        <f t="shared" si="61"/>
        <v>9</v>
      </c>
      <c r="O686" s="21">
        <f t="shared" si="62"/>
        <v>45901</v>
      </c>
      <c r="P686" s="13">
        <f t="shared" si="63"/>
        <v>0.64965197215777271</v>
      </c>
      <c r="Q686" s="5">
        <f t="shared" si="64"/>
        <v>202509</v>
      </c>
      <c r="R686" s="21">
        <f t="shared" si="65"/>
        <v>45901</v>
      </c>
    </row>
    <row r="687" spans="1:18" x14ac:dyDescent="0.25">
      <c r="A687" s="5" t="s">
        <v>1276</v>
      </c>
      <c r="B687" s="14">
        <v>45345</v>
      </c>
      <c r="C687" s="5" t="s">
        <v>738</v>
      </c>
      <c r="D687" s="10" t="s">
        <v>20</v>
      </c>
      <c r="E687" s="10" t="s">
        <v>30</v>
      </c>
      <c r="F687" s="10" t="s">
        <v>16</v>
      </c>
      <c r="G687" s="15">
        <v>2</v>
      </c>
      <c r="H687" s="11">
        <v>2571.0971</v>
      </c>
      <c r="I687" s="12">
        <v>5</v>
      </c>
      <c r="J687" s="11">
        <v>4884.8005999999996</v>
      </c>
      <c r="K687" s="11">
        <v>720.13429999999994</v>
      </c>
      <c r="L687" s="10" t="s">
        <v>17</v>
      </c>
      <c r="M687" s="5">
        <f t="shared" si="60"/>
        <v>2024</v>
      </c>
      <c r="N687" s="5">
        <f t="shared" si="61"/>
        <v>2</v>
      </c>
      <c r="O687" s="21">
        <f t="shared" si="62"/>
        <v>45323</v>
      </c>
      <c r="P687" s="13">
        <f t="shared" si="63"/>
        <v>0.14742347927160016</v>
      </c>
      <c r="Q687" s="5">
        <f t="shared" si="64"/>
        <v>202402</v>
      </c>
      <c r="R687" s="21">
        <f t="shared" si="65"/>
        <v>45323</v>
      </c>
    </row>
    <row r="688" spans="1:18" x14ac:dyDescent="0.25">
      <c r="A688" s="5" t="s">
        <v>1277</v>
      </c>
      <c r="B688" s="14">
        <v>45561</v>
      </c>
      <c r="C688" s="5" t="s">
        <v>726</v>
      </c>
      <c r="D688" s="10" t="s">
        <v>26</v>
      </c>
      <c r="E688" s="10" t="s">
        <v>83</v>
      </c>
      <c r="F688" s="10" t="s">
        <v>22</v>
      </c>
      <c r="G688" s="15">
        <v>1</v>
      </c>
      <c r="H688" s="11">
        <v>3349.9019999999996</v>
      </c>
      <c r="I688" s="12">
        <v>0</v>
      </c>
      <c r="J688" s="11">
        <v>3349.9019999999996</v>
      </c>
      <c r="K688" s="11">
        <v>1435.5371</v>
      </c>
      <c r="L688" s="10" t="s">
        <v>17</v>
      </c>
      <c r="M688" s="5">
        <f t="shared" si="60"/>
        <v>2024</v>
      </c>
      <c r="N688" s="5">
        <f t="shared" si="61"/>
        <v>9</v>
      </c>
      <c r="O688" s="21">
        <f t="shared" si="62"/>
        <v>45536</v>
      </c>
      <c r="P688" s="13">
        <f t="shared" si="63"/>
        <v>0.42853107344632774</v>
      </c>
      <c r="Q688" s="5">
        <f t="shared" si="64"/>
        <v>202409</v>
      </c>
      <c r="R688" s="21">
        <f t="shared" si="65"/>
        <v>45536</v>
      </c>
    </row>
    <row r="689" spans="1:18" x14ac:dyDescent="0.25">
      <c r="A689" s="5" t="s">
        <v>1278</v>
      </c>
      <c r="B689" s="14">
        <v>45507</v>
      </c>
      <c r="C689" s="5" t="s">
        <v>1279</v>
      </c>
      <c r="D689" s="10" t="s">
        <v>14</v>
      </c>
      <c r="E689" s="10" t="s">
        <v>74</v>
      </c>
      <c r="F689" s="10" t="s">
        <v>75</v>
      </c>
      <c r="G689" s="15">
        <v>1</v>
      </c>
      <c r="H689" s="11">
        <v>1524.4893</v>
      </c>
      <c r="I689" s="12">
        <v>10</v>
      </c>
      <c r="J689" s="11">
        <v>1372.135</v>
      </c>
      <c r="K689" s="11">
        <v>262.12509999999997</v>
      </c>
      <c r="L689" s="10" t="s">
        <v>23</v>
      </c>
      <c r="M689" s="5">
        <f t="shared" si="60"/>
        <v>2024</v>
      </c>
      <c r="N689" s="5">
        <f t="shared" si="61"/>
        <v>8</v>
      </c>
      <c r="O689" s="21">
        <f t="shared" si="62"/>
        <v>45505</v>
      </c>
      <c r="P689" s="13">
        <f t="shared" si="63"/>
        <v>0.19103448275862067</v>
      </c>
      <c r="Q689" s="5">
        <f t="shared" si="64"/>
        <v>202408</v>
      </c>
      <c r="R689" s="21">
        <f t="shared" si="65"/>
        <v>45505</v>
      </c>
    </row>
    <row r="690" spans="1:18" x14ac:dyDescent="0.25">
      <c r="A690" s="5" t="s">
        <v>1280</v>
      </c>
      <c r="B690" s="14">
        <v>45886</v>
      </c>
      <c r="C690" s="5" t="s">
        <v>1281</v>
      </c>
      <c r="D690" s="10" t="s">
        <v>26</v>
      </c>
      <c r="E690" s="10" t="s">
        <v>184</v>
      </c>
      <c r="F690" s="10" t="s">
        <v>49</v>
      </c>
      <c r="G690" s="15">
        <v>1</v>
      </c>
      <c r="H690" s="11">
        <v>5218.8444999999992</v>
      </c>
      <c r="I690" s="12">
        <v>20</v>
      </c>
      <c r="J690" s="11">
        <v>4175.0755999999992</v>
      </c>
      <c r="K690" s="11">
        <v>1521.6503999999998</v>
      </c>
      <c r="L690" s="10" t="s">
        <v>17</v>
      </c>
      <c r="M690" s="5">
        <f t="shared" si="60"/>
        <v>2025</v>
      </c>
      <c r="N690" s="5">
        <f t="shared" si="61"/>
        <v>8</v>
      </c>
      <c r="O690" s="21">
        <f t="shared" si="62"/>
        <v>45870</v>
      </c>
      <c r="P690" s="13">
        <f t="shared" si="63"/>
        <v>0.36446056210335448</v>
      </c>
      <c r="Q690" s="5">
        <f t="shared" si="64"/>
        <v>202508</v>
      </c>
      <c r="R690" s="21">
        <f t="shared" si="65"/>
        <v>45870</v>
      </c>
    </row>
    <row r="691" spans="1:18" x14ac:dyDescent="0.25">
      <c r="A691" s="5" t="s">
        <v>1282</v>
      </c>
      <c r="B691" s="14">
        <v>45305</v>
      </c>
      <c r="C691" s="5" t="s">
        <v>947</v>
      </c>
      <c r="D691" s="10" t="s">
        <v>14</v>
      </c>
      <c r="E691" s="10" t="s">
        <v>291</v>
      </c>
      <c r="F691" s="10" t="s">
        <v>22</v>
      </c>
      <c r="G691" s="15">
        <v>3</v>
      </c>
      <c r="H691" s="11">
        <v>4211.0349999999999</v>
      </c>
      <c r="I691" s="12">
        <v>20</v>
      </c>
      <c r="J691" s="11">
        <v>10106.483999999999</v>
      </c>
      <c r="K691" s="11">
        <v>6463.2289999999994</v>
      </c>
      <c r="L691" s="10" t="s">
        <v>34</v>
      </c>
      <c r="M691" s="5">
        <f t="shared" si="60"/>
        <v>2024</v>
      </c>
      <c r="N691" s="5">
        <f t="shared" si="61"/>
        <v>1</v>
      </c>
      <c r="O691" s="21">
        <f t="shared" si="62"/>
        <v>45292</v>
      </c>
      <c r="P691" s="13">
        <f t="shared" si="63"/>
        <v>0.63951310861423227</v>
      </c>
      <c r="Q691" s="5">
        <f t="shared" si="64"/>
        <v>202401</v>
      </c>
      <c r="R691" s="21">
        <f t="shared" si="65"/>
        <v>45292</v>
      </c>
    </row>
    <row r="692" spans="1:18" x14ac:dyDescent="0.25">
      <c r="A692" s="5" t="s">
        <v>1283</v>
      </c>
      <c r="B692" s="14">
        <v>45796</v>
      </c>
      <c r="C692" s="5" t="s">
        <v>1284</v>
      </c>
      <c r="D692" s="10" t="s">
        <v>20</v>
      </c>
      <c r="E692" s="10" t="s">
        <v>55</v>
      </c>
      <c r="F692" s="10" t="s">
        <v>16</v>
      </c>
      <c r="G692" s="15">
        <v>2</v>
      </c>
      <c r="H692" s="11">
        <v>12683.258899999999</v>
      </c>
      <c r="I692" s="12">
        <v>15</v>
      </c>
      <c r="J692" s="11">
        <v>21561.445499999998</v>
      </c>
      <c r="K692" s="11">
        <v>2196.3622999999998</v>
      </c>
      <c r="L692" s="10" t="s">
        <v>17</v>
      </c>
      <c r="M692" s="5">
        <f t="shared" si="60"/>
        <v>2025</v>
      </c>
      <c r="N692" s="5">
        <f t="shared" si="61"/>
        <v>5</v>
      </c>
      <c r="O692" s="21">
        <f t="shared" si="62"/>
        <v>45778</v>
      </c>
      <c r="P692" s="13">
        <f t="shared" si="63"/>
        <v>0.10186526223392582</v>
      </c>
      <c r="Q692" s="5">
        <f t="shared" si="64"/>
        <v>202505</v>
      </c>
      <c r="R692" s="21">
        <f t="shared" si="65"/>
        <v>45778</v>
      </c>
    </row>
    <row r="693" spans="1:18" x14ac:dyDescent="0.25">
      <c r="A693" s="5" t="s">
        <v>1285</v>
      </c>
      <c r="B693" s="14">
        <v>45357</v>
      </c>
      <c r="C693" s="5" t="s">
        <v>1286</v>
      </c>
      <c r="D693" s="10" t="s">
        <v>14</v>
      </c>
      <c r="E693" s="10" t="s">
        <v>133</v>
      </c>
      <c r="F693" s="10" t="s">
        <v>75</v>
      </c>
      <c r="G693" s="15">
        <v>1</v>
      </c>
      <c r="H693" s="11">
        <v>4813.8280999999997</v>
      </c>
      <c r="I693" s="12">
        <v>10</v>
      </c>
      <c r="J693" s="11">
        <v>4332.1614</v>
      </c>
      <c r="K693" s="11">
        <v>983.20569999999998</v>
      </c>
      <c r="L693" s="10" t="s">
        <v>17</v>
      </c>
      <c r="M693" s="5">
        <f t="shared" si="60"/>
        <v>2024</v>
      </c>
      <c r="N693" s="5">
        <f t="shared" si="61"/>
        <v>3</v>
      </c>
      <c r="O693" s="21">
        <f t="shared" si="62"/>
        <v>45352</v>
      </c>
      <c r="P693" s="13">
        <f t="shared" si="63"/>
        <v>0.22695500218435999</v>
      </c>
      <c r="Q693" s="5">
        <f t="shared" si="64"/>
        <v>202403</v>
      </c>
      <c r="R693" s="21">
        <f t="shared" si="65"/>
        <v>45352</v>
      </c>
    </row>
    <row r="694" spans="1:18" x14ac:dyDescent="0.25">
      <c r="A694" s="5" t="s">
        <v>1287</v>
      </c>
      <c r="B694" s="14">
        <v>45788</v>
      </c>
      <c r="C694" s="5" t="s">
        <v>859</v>
      </c>
      <c r="D694" s="10" t="s">
        <v>37</v>
      </c>
      <c r="E694" s="10" t="s">
        <v>21</v>
      </c>
      <c r="F694" s="10" t="s">
        <v>22</v>
      </c>
      <c r="G694" s="15">
        <v>4</v>
      </c>
      <c r="H694" s="11">
        <v>1509.3484999999998</v>
      </c>
      <c r="I694" s="12">
        <v>25</v>
      </c>
      <c r="J694" s="11">
        <v>4528.0455000000002</v>
      </c>
      <c r="K694" s="11">
        <v>2581.5063999999998</v>
      </c>
      <c r="L694" s="10" t="s">
        <v>23</v>
      </c>
      <c r="M694" s="5">
        <f t="shared" si="60"/>
        <v>2025</v>
      </c>
      <c r="N694" s="5">
        <f t="shared" si="61"/>
        <v>5</v>
      </c>
      <c r="O694" s="21">
        <f t="shared" si="62"/>
        <v>45778</v>
      </c>
      <c r="P694" s="13">
        <f t="shared" si="63"/>
        <v>0.57011494252873551</v>
      </c>
      <c r="Q694" s="5">
        <f t="shared" si="64"/>
        <v>202505</v>
      </c>
      <c r="R694" s="21">
        <f t="shared" si="65"/>
        <v>45778</v>
      </c>
    </row>
    <row r="695" spans="1:18" x14ac:dyDescent="0.25">
      <c r="A695" s="5" t="s">
        <v>1288</v>
      </c>
      <c r="B695" s="14">
        <v>45499</v>
      </c>
      <c r="C695" s="5" t="s">
        <v>1289</v>
      </c>
      <c r="D695" s="10" t="s">
        <v>20</v>
      </c>
      <c r="E695" s="10" t="s">
        <v>88</v>
      </c>
      <c r="F695" s="10" t="s">
        <v>22</v>
      </c>
      <c r="G695" s="15">
        <v>3</v>
      </c>
      <c r="H695" s="11">
        <v>2978.0060999999996</v>
      </c>
      <c r="I695" s="12">
        <v>20</v>
      </c>
      <c r="J695" s="11">
        <v>7147.4038999999993</v>
      </c>
      <c r="K695" s="11">
        <v>3349.9019999999996</v>
      </c>
      <c r="L695" s="10" t="s">
        <v>17</v>
      </c>
      <c r="M695" s="5">
        <f t="shared" si="60"/>
        <v>2024</v>
      </c>
      <c r="N695" s="5">
        <f t="shared" si="61"/>
        <v>7</v>
      </c>
      <c r="O695" s="21">
        <f t="shared" si="62"/>
        <v>45474</v>
      </c>
      <c r="P695" s="13">
        <f t="shared" si="63"/>
        <v>0.46868793856745661</v>
      </c>
      <c r="Q695" s="5">
        <f t="shared" si="64"/>
        <v>202407</v>
      </c>
      <c r="R695" s="21">
        <f t="shared" si="65"/>
        <v>45474</v>
      </c>
    </row>
    <row r="696" spans="1:18" x14ac:dyDescent="0.25">
      <c r="A696" s="5" t="s">
        <v>1290</v>
      </c>
      <c r="B696" s="14">
        <v>45808</v>
      </c>
      <c r="C696" s="5" t="s">
        <v>1291</v>
      </c>
      <c r="D696" s="10" t="s">
        <v>26</v>
      </c>
      <c r="E696" s="10" t="s">
        <v>94</v>
      </c>
      <c r="F696" s="10" t="s">
        <v>75</v>
      </c>
      <c r="G696" s="15">
        <v>2</v>
      </c>
      <c r="H696" s="11">
        <v>5550.0494999999992</v>
      </c>
      <c r="I696" s="12">
        <v>20</v>
      </c>
      <c r="J696" s="11">
        <v>8880.0792000000001</v>
      </c>
      <c r="K696" s="11">
        <v>2328.8442999999997</v>
      </c>
      <c r="L696" s="10" t="s">
        <v>17</v>
      </c>
      <c r="M696" s="5">
        <f t="shared" si="60"/>
        <v>2025</v>
      </c>
      <c r="N696" s="5">
        <f t="shared" si="61"/>
        <v>5</v>
      </c>
      <c r="O696" s="21">
        <f t="shared" si="62"/>
        <v>45778</v>
      </c>
      <c r="P696" s="13">
        <f t="shared" si="63"/>
        <v>0.26225490196078427</v>
      </c>
      <c r="Q696" s="5">
        <f t="shared" si="64"/>
        <v>202505</v>
      </c>
      <c r="R696" s="21">
        <f t="shared" si="65"/>
        <v>45778</v>
      </c>
    </row>
    <row r="697" spans="1:18" x14ac:dyDescent="0.25">
      <c r="A697" s="5" t="s">
        <v>1292</v>
      </c>
      <c r="B697" s="14">
        <v>45326</v>
      </c>
      <c r="C697" s="5" t="s">
        <v>844</v>
      </c>
      <c r="D697" s="10" t="s">
        <v>26</v>
      </c>
      <c r="E697" s="10" t="s">
        <v>253</v>
      </c>
      <c r="F697" s="10" t="s">
        <v>49</v>
      </c>
      <c r="G697" s="15">
        <v>2</v>
      </c>
      <c r="H697" s="11">
        <v>5677.7999999999993</v>
      </c>
      <c r="I697" s="12">
        <v>0</v>
      </c>
      <c r="J697" s="11">
        <v>11355.599999999999</v>
      </c>
      <c r="K697" s="11">
        <v>5972.0992999999999</v>
      </c>
      <c r="L697" s="10" t="s">
        <v>34</v>
      </c>
      <c r="M697" s="5">
        <f t="shared" si="60"/>
        <v>2024</v>
      </c>
      <c r="N697" s="5">
        <f t="shared" si="61"/>
        <v>2</v>
      </c>
      <c r="O697" s="21">
        <f t="shared" si="62"/>
        <v>45323</v>
      </c>
      <c r="P697" s="13">
        <f t="shared" si="63"/>
        <v>0.5259166666666667</v>
      </c>
      <c r="Q697" s="5">
        <f t="shared" si="64"/>
        <v>202402</v>
      </c>
      <c r="R697" s="21">
        <f t="shared" si="65"/>
        <v>45323</v>
      </c>
    </row>
    <row r="698" spans="1:18" x14ac:dyDescent="0.25">
      <c r="A698" s="5" t="s">
        <v>1293</v>
      </c>
      <c r="B698" s="14">
        <v>45379</v>
      </c>
      <c r="C698" s="5" t="s">
        <v>1294</v>
      </c>
      <c r="D698" s="10" t="s">
        <v>14</v>
      </c>
      <c r="E698" s="10" t="s">
        <v>136</v>
      </c>
      <c r="F698" s="10" t="s">
        <v>75</v>
      </c>
      <c r="G698" s="15">
        <v>2</v>
      </c>
      <c r="H698" s="11">
        <v>4729.6073999999999</v>
      </c>
      <c r="I698" s="12">
        <v>10</v>
      </c>
      <c r="J698" s="11">
        <v>8512.9147999999986</v>
      </c>
      <c r="K698" s="11">
        <v>1832.0367999999999</v>
      </c>
      <c r="L698" s="10" t="s">
        <v>23</v>
      </c>
      <c r="M698" s="5">
        <f t="shared" si="60"/>
        <v>2024</v>
      </c>
      <c r="N698" s="5">
        <f t="shared" si="61"/>
        <v>3</v>
      </c>
      <c r="O698" s="21">
        <f t="shared" si="62"/>
        <v>45352</v>
      </c>
      <c r="P698" s="13">
        <f t="shared" si="63"/>
        <v>0.21520675855935972</v>
      </c>
      <c r="Q698" s="5">
        <f t="shared" si="64"/>
        <v>202403</v>
      </c>
      <c r="R698" s="21">
        <f t="shared" si="65"/>
        <v>45352</v>
      </c>
    </row>
    <row r="699" spans="1:18" x14ac:dyDescent="0.25">
      <c r="A699" s="5" t="s">
        <v>1295</v>
      </c>
      <c r="B699" s="14">
        <v>45902</v>
      </c>
      <c r="C699" s="5" t="s">
        <v>1214</v>
      </c>
      <c r="D699" s="10" t="s">
        <v>20</v>
      </c>
      <c r="E699" s="10" t="s">
        <v>291</v>
      </c>
      <c r="F699" s="10" t="s">
        <v>22</v>
      </c>
      <c r="G699" s="15">
        <v>1</v>
      </c>
      <c r="H699" s="11">
        <v>898.9849999999999</v>
      </c>
      <c r="I699" s="12">
        <v>0</v>
      </c>
      <c r="J699" s="11">
        <v>898.9849999999999</v>
      </c>
      <c r="K699" s="11">
        <v>379.46629999999999</v>
      </c>
      <c r="L699" s="10" t="s">
        <v>17</v>
      </c>
      <c r="M699" s="5">
        <f t="shared" si="60"/>
        <v>2025</v>
      </c>
      <c r="N699" s="5">
        <f t="shared" si="61"/>
        <v>9</v>
      </c>
      <c r="O699" s="21">
        <f t="shared" si="62"/>
        <v>45901</v>
      </c>
      <c r="P699" s="13">
        <f t="shared" si="63"/>
        <v>0.42210526315789476</v>
      </c>
      <c r="Q699" s="5">
        <f t="shared" si="64"/>
        <v>202509</v>
      </c>
      <c r="R699" s="21">
        <f t="shared" si="65"/>
        <v>45901</v>
      </c>
    </row>
    <row r="700" spans="1:18" x14ac:dyDescent="0.25">
      <c r="A700" s="5" t="s">
        <v>1296</v>
      </c>
      <c r="B700" s="14">
        <v>45716</v>
      </c>
      <c r="C700" s="5" t="s">
        <v>629</v>
      </c>
      <c r="D700" s="10" t="s">
        <v>42</v>
      </c>
      <c r="E700" s="10" t="s">
        <v>187</v>
      </c>
      <c r="F700" s="10" t="s">
        <v>75</v>
      </c>
      <c r="G700" s="15">
        <v>1</v>
      </c>
      <c r="H700" s="11">
        <v>4062.4658999999997</v>
      </c>
      <c r="I700" s="12">
        <v>15</v>
      </c>
      <c r="J700" s="11">
        <v>3453.0486999999998</v>
      </c>
      <c r="K700" s="11">
        <v>657.67849999999999</v>
      </c>
      <c r="L700" s="10" t="s">
        <v>23</v>
      </c>
      <c r="M700" s="5">
        <f t="shared" si="60"/>
        <v>2025</v>
      </c>
      <c r="N700" s="5">
        <f t="shared" si="61"/>
        <v>2</v>
      </c>
      <c r="O700" s="21">
        <f t="shared" si="62"/>
        <v>45689</v>
      </c>
      <c r="P700" s="13">
        <f t="shared" si="63"/>
        <v>0.19046314058646205</v>
      </c>
      <c r="Q700" s="5">
        <f t="shared" si="64"/>
        <v>202502</v>
      </c>
      <c r="R700" s="21">
        <f t="shared" si="65"/>
        <v>45689</v>
      </c>
    </row>
    <row r="701" spans="1:18" x14ac:dyDescent="0.25">
      <c r="A701" s="5" t="s">
        <v>1297</v>
      </c>
      <c r="B701" s="14">
        <v>45812</v>
      </c>
      <c r="C701" s="5" t="s">
        <v>1298</v>
      </c>
      <c r="D701" s="10" t="s">
        <v>20</v>
      </c>
      <c r="E701" s="10" t="s">
        <v>556</v>
      </c>
      <c r="F701" s="10" t="s">
        <v>49</v>
      </c>
      <c r="G701" s="15">
        <v>1</v>
      </c>
      <c r="H701" s="11">
        <v>6906.0973999999997</v>
      </c>
      <c r="I701" s="12">
        <v>10</v>
      </c>
      <c r="J701" s="11">
        <v>6215.2984000000006</v>
      </c>
      <c r="K701" s="11">
        <v>2625.9825000000001</v>
      </c>
      <c r="L701" s="10" t="s">
        <v>17</v>
      </c>
      <c r="M701" s="5">
        <f t="shared" si="60"/>
        <v>2025</v>
      </c>
      <c r="N701" s="5">
        <f t="shared" si="61"/>
        <v>6</v>
      </c>
      <c r="O701" s="21">
        <f t="shared" si="62"/>
        <v>45809</v>
      </c>
      <c r="P701" s="13">
        <f t="shared" si="63"/>
        <v>0.42250304506699143</v>
      </c>
      <c r="Q701" s="5">
        <f t="shared" si="64"/>
        <v>202506</v>
      </c>
      <c r="R701" s="21">
        <f t="shared" si="65"/>
        <v>45809</v>
      </c>
    </row>
    <row r="702" spans="1:18" x14ac:dyDescent="0.25">
      <c r="A702" s="5" t="s">
        <v>1299</v>
      </c>
      <c r="B702" s="14">
        <v>45481</v>
      </c>
      <c r="C702" s="5" t="s">
        <v>1300</v>
      </c>
      <c r="D702" s="10" t="s">
        <v>14</v>
      </c>
      <c r="E702" s="10" t="s">
        <v>61</v>
      </c>
      <c r="F702" s="10" t="s">
        <v>39</v>
      </c>
      <c r="G702" s="15">
        <v>2</v>
      </c>
      <c r="H702" s="11">
        <v>5991.9715999999999</v>
      </c>
      <c r="I702" s="12">
        <v>5</v>
      </c>
      <c r="J702" s="11">
        <v>11384.935299999999</v>
      </c>
      <c r="K702" s="11">
        <v>3010.1802999999995</v>
      </c>
      <c r="L702" s="10" t="s">
        <v>23</v>
      </c>
      <c r="M702" s="5">
        <f t="shared" si="60"/>
        <v>2024</v>
      </c>
      <c r="N702" s="5">
        <f t="shared" si="61"/>
        <v>7</v>
      </c>
      <c r="O702" s="21">
        <f t="shared" si="62"/>
        <v>45474</v>
      </c>
      <c r="P702" s="13">
        <f t="shared" si="63"/>
        <v>0.26440029922699693</v>
      </c>
      <c r="Q702" s="5">
        <f t="shared" si="64"/>
        <v>202407</v>
      </c>
      <c r="R702" s="21">
        <f t="shared" si="65"/>
        <v>45474</v>
      </c>
    </row>
    <row r="703" spans="1:18" x14ac:dyDescent="0.25">
      <c r="A703" s="5" t="s">
        <v>1301</v>
      </c>
      <c r="B703" s="14">
        <v>46006</v>
      </c>
      <c r="C703" s="5" t="s">
        <v>451</v>
      </c>
      <c r="D703" s="10" t="s">
        <v>42</v>
      </c>
      <c r="E703" s="10" t="s">
        <v>43</v>
      </c>
      <c r="F703" s="10" t="s">
        <v>22</v>
      </c>
      <c r="G703" s="15">
        <v>2</v>
      </c>
      <c r="H703" s="11">
        <v>3528.7526999999995</v>
      </c>
      <c r="I703" s="12">
        <v>5</v>
      </c>
      <c r="J703" s="11">
        <v>6704.535499999999</v>
      </c>
      <c r="K703" s="11">
        <v>3559.0342999999998</v>
      </c>
      <c r="L703" s="10" t="s">
        <v>17</v>
      </c>
      <c r="M703" s="5">
        <f t="shared" si="60"/>
        <v>2025</v>
      </c>
      <c r="N703" s="5">
        <f t="shared" si="61"/>
        <v>12</v>
      </c>
      <c r="O703" s="21">
        <f t="shared" si="62"/>
        <v>45992</v>
      </c>
      <c r="P703" s="13">
        <f t="shared" si="63"/>
        <v>0.53083980239943551</v>
      </c>
      <c r="Q703" s="5">
        <f t="shared" si="64"/>
        <v>202512</v>
      </c>
      <c r="R703" s="21">
        <f t="shared" si="65"/>
        <v>45992</v>
      </c>
    </row>
    <row r="704" spans="1:18" x14ac:dyDescent="0.25">
      <c r="A704" s="5" t="s">
        <v>1302</v>
      </c>
      <c r="B704" s="14">
        <v>45502</v>
      </c>
      <c r="C704" s="5" t="s">
        <v>1303</v>
      </c>
      <c r="D704" s="10" t="s">
        <v>20</v>
      </c>
      <c r="E704" s="10" t="s">
        <v>151</v>
      </c>
      <c r="F704" s="10" t="s">
        <v>39</v>
      </c>
      <c r="G704" s="15">
        <v>1</v>
      </c>
      <c r="H704" s="11">
        <v>6408.3435999999992</v>
      </c>
      <c r="I704" s="12">
        <v>5</v>
      </c>
      <c r="J704" s="11">
        <v>6087.5478999999996</v>
      </c>
      <c r="K704" s="11">
        <v>2112.1415999999999</v>
      </c>
      <c r="L704" s="10" t="s">
        <v>17</v>
      </c>
      <c r="M704" s="5">
        <f t="shared" si="60"/>
        <v>2024</v>
      </c>
      <c r="N704" s="5">
        <f t="shared" si="61"/>
        <v>7</v>
      </c>
      <c r="O704" s="21">
        <f t="shared" si="62"/>
        <v>45474</v>
      </c>
      <c r="P704" s="13">
        <f t="shared" si="63"/>
        <v>0.34696098243432305</v>
      </c>
      <c r="Q704" s="5">
        <f t="shared" si="64"/>
        <v>202407</v>
      </c>
      <c r="R704" s="21">
        <f t="shared" si="65"/>
        <v>45474</v>
      </c>
    </row>
    <row r="705" spans="1:18" x14ac:dyDescent="0.25">
      <c r="A705" s="5" t="s">
        <v>1304</v>
      </c>
      <c r="B705" s="14">
        <v>45605</v>
      </c>
      <c r="C705" s="5" t="s">
        <v>1094</v>
      </c>
      <c r="D705" s="10" t="s">
        <v>26</v>
      </c>
      <c r="E705" s="10" t="s">
        <v>118</v>
      </c>
      <c r="F705" s="10" t="s">
        <v>49</v>
      </c>
      <c r="G705" s="15">
        <v>2</v>
      </c>
      <c r="H705" s="11">
        <v>6235.1706999999997</v>
      </c>
      <c r="I705" s="12">
        <v>25</v>
      </c>
      <c r="J705" s="11">
        <v>9353.2291999999998</v>
      </c>
      <c r="K705" s="11">
        <v>4743.8019000000004</v>
      </c>
      <c r="L705" s="10" t="s">
        <v>17</v>
      </c>
      <c r="M705" s="5">
        <f t="shared" si="60"/>
        <v>2024</v>
      </c>
      <c r="N705" s="5">
        <f t="shared" si="61"/>
        <v>11</v>
      </c>
      <c r="O705" s="21">
        <f t="shared" si="62"/>
        <v>45597</v>
      </c>
      <c r="P705" s="13">
        <f t="shared" si="63"/>
        <v>0.5071833265884258</v>
      </c>
      <c r="Q705" s="5">
        <f t="shared" si="64"/>
        <v>202411</v>
      </c>
      <c r="R705" s="21">
        <f t="shared" si="65"/>
        <v>45597</v>
      </c>
    </row>
    <row r="706" spans="1:18" x14ac:dyDescent="0.25">
      <c r="A706" s="5" t="s">
        <v>1305</v>
      </c>
      <c r="B706" s="14">
        <v>45336</v>
      </c>
      <c r="C706" s="5" t="s">
        <v>1180</v>
      </c>
      <c r="D706" s="10" t="s">
        <v>26</v>
      </c>
      <c r="E706" s="10" t="s">
        <v>314</v>
      </c>
      <c r="F706" s="10" t="s">
        <v>16</v>
      </c>
      <c r="G706" s="15">
        <v>1</v>
      </c>
      <c r="H706" s="11">
        <v>10998.8449</v>
      </c>
      <c r="I706" s="12">
        <v>0</v>
      </c>
      <c r="J706" s="11">
        <v>10998.8449</v>
      </c>
      <c r="K706" s="11">
        <v>2445.2392</v>
      </c>
      <c r="L706" s="10" t="s">
        <v>34</v>
      </c>
      <c r="M706" s="5">
        <f t="shared" ref="M706:M769" si="66">YEAR(B706)</f>
        <v>2024</v>
      </c>
      <c r="N706" s="5">
        <f t="shared" ref="N706:N769" si="67">MONTH(B706)</f>
        <v>2</v>
      </c>
      <c r="O706" s="21">
        <f t="shared" ref="O706:O769" si="68">DATE(YEAR(B706),MONTH(B706),1)</f>
        <v>45323</v>
      </c>
      <c r="P706" s="13">
        <f t="shared" ref="P706:P769" si="69">(K706/J706)</f>
        <v>0.22231781811924631</v>
      </c>
      <c r="Q706" s="5">
        <f t="shared" ref="Q706:Q769" si="70">YEAR(B706)*100+MONTH(B706)</f>
        <v>202402</v>
      </c>
      <c r="R706" s="21">
        <f t="shared" ref="R706:R769" si="71">DATE(YEAR(B706),MONTH(B706),1)</f>
        <v>45323</v>
      </c>
    </row>
    <row r="707" spans="1:18" x14ac:dyDescent="0.25">
      <c r="A707" s="5" t="s">
        <v>1306</v>
      </c>
      <c r="B707" s="14">
        <v>45475</v>
      </c>
      <c r="C707" s="5" t="s">
        <v>1307</v>
      </c>
      <c r="D707" s="10" t="s">
        <v>14</v>
      </c>
      <c r="E707" s="10" t="s">
        <v>148</v>
      </c>
      <c r="F707" s="10" t="s">
        <v>16</v>
      </c>
      <c r="G707" s="15">
        <v>4</v>
      </c>
      <c r="H707" s="11">
        <v>7219.3227000000006</v>
      </c>
      <c r="I707" s="12">
        <v>0</v>
      </c>
      <c r="J707" s="11">
        <v>28877.290800000002</v>
      </c>
      <c r="K707" s="11">
        <v>3030.9989</v>
      </c>
      <c r="L707" s="10" t="s">
        <v>23</v>
      </c>
      <c r="M707" s="5">
        <f t="shared" si="66"/>
        <v>2024</v>
      </c>
      <c r="N707" s="5">
        <f t="shared" si="67"/>
        <v>7</v>
      </c>
      <c r="O707" s="21">
        <f t="shared" si="68"/>
        <v>45474</v>
      </c>
      <c r="P707" s="13">
        <f t="shared" si="69"/>
        <v>0.10496133176038798</v>
      </c>
      <c r="Q707" s="5">
        <f t="shared" si="70"/>
        <v>202407</v>
      </c>
      <c r="R707" s="21">
        <f t="shared" si="71"/>
        <v>45474</v>
      </c>
    </row>
    <row r="708" spans="1:18" x14ac:dyDescent="0.25">
      <c r="A708" s="5" t="s">
        <v>1308</v>
      </c>
      <c r="B708" s="14">
        <v>45824</v>
      </c>
      <c r="C708" s="5" t="s">
        <v>1309</v>
      </c>
      <c r="D708" s="10" t="s">
        <v>20</v>
      </c>
      <c r="E708" s="10" t="s">
        <v>118</v>
      </c>
      <c r="F708" s="10" t="s">
        <v>49</v>
      </c>
      <c r="G708" s="15">
        <v>5</v>
      </c>
      <c r="H708" s="11">
        <v>4481.6768000000002</v>
      </c>
      <c r="I708" s="12">
        <v>10</v>
      </c>
      <c r="J708" s="11">
        <v>20167.545599999998</v>
      </c>
      <c r="K708" s="11">
        <v>11011.146799999999</v>
      </c>
      <c r="L708" s="10" t="s">
        <v>17</v>
      </c>
      <c r="M708" s="5">
        <f t="shared" si="66"/>
        <v>2025</v>
      </c>
      <c r="N708" s="5">
        <f t="shared" si="67"/>
        <v>6</v>
      </c>
      <c r="O708" s="21">
        <f t="shared" si="68"/>
        <v>45809</v>
      </c>
      <c r="P708" s="13">
        <f t="shared" si="69"/>
        <v>0.54598348348348347</v>
      </c>
      <c r="Q708" s="5">
        <f t="shared" si="70"/>
        <v>202506</v>
      </c>
      <c r="R708" s="21">
        <f t="shared" si="71"/>
        <v>45809</v>
      </c>
    </row>
    <row r="709" spans="1:18" x14ac:dyDescent="0.25">
      <c r="A709" s="5" t="s">
        <v>1310</v>
      </c>
      <c r="B709" s="14">
        <v>45991</v>
      </c>
      <c r="C709" s="5" t="s">
        <v>1311</v>
      </c>
      <c r="D709" s="10" t="s">
        <v>20</v>
      </c>
      <c r="E709" s="10" t="s">
        <v>91</v>
      </c>
      <c r="F709" s="10" t="s">
        <v>49</v>
      </c>
      <c r="G709" s="15">
        <v>1</v>
      </c>
      <c r="H709" s="11">
        <v>5582.2236999999996</v>
      </c>
      <c r="I709" s="12">
        <v>15</v>
      </c>
      <c r="J709" s="11">
        <v>4744.7482</v>
      </c>
      <c r="K709" s="11">
        <v>1775.2588000000001</v>
      </c>
      <c r="L709" s="10" t="s">
        <v>23</v>
      </c>
      <c r="M709" s="5">
        <f t="shared" si="66"/>
        <v>2025</v>
      </c>
      <c r="N709" s="5">
        <f t="shared" si="67"/>
        <v>11</v>
      </c>
      <c r="O709" s="21">
        <f t="shared" si="68"/>
        <v>45962</v>
      </c>
      <c r="P709" s="13">
        <f t="shared" si="69"/>
        <v>0.3741523733546071</v>
      </c>
      <c r="Q709" s="5">
        <f t="shared" si="70"/>
        <v>202511</v>
      </c>
      <c r="R709" s="21">
        <f t="shared" si="71"/>
        <v>45962</v>
      </c>
    </row>
    <row r="710" spans="1:18" x14ac:dyDescent="0.25">
      <c r="A710" s="5" t="s">
        <v>1312</v>
      </c>
      <c r="B710" s="14">
        <v>46002</v>
      </c>
      <c r="C710" s="5" t="s">
        <v>1313</v>
      </c>
      <c r="D710" s="10" t="s">
        <v>20</v>
      </c>
      <c r="E710" s="10" t="s">
        <v>108</v>
      </c>
      <c r="F710" s="10" t="s">
        <v>75</v>
      </c>
      <c r="G710" s="15">
        <v>2</v>
      </c>
      <c r="H710" s="11">
        <v>5166.7979999999998</v>
      </c>
      <c r="I710" s="12">
        <v>10</v>
      </c>
      <c r="J710" s="11">
        <v>9300.2363999999998</v>
      </c>
      <c r="K710" s="11">
        <v>3131.3067000000001</v>
      </c>
      <c r="L710" s="10" t="s">
        <v>34</v>
      </c>
      <c r="M710" s="5">
        <f t="shared" si="66"/>
        <v>2025</v>
      </c>
      <c r="N710" s="5">
        <f t="shared" si="67"/>
        <v>12</v>
      </c>
      <c r="O710" s="21">
        <f t="shared" si="68"/>
        <v>45992</v>
      </c>
      <c r="P710" s="13">
        <f t="shared" si="69"/>
        <v>0.33669108669108672</v>
      </c>
      <c r="Q710" s="5">
        <f t="shared" si="70"/>
        <v>202512</v>
      </c>
      <c r="R710" s="21">
        <f t="shared" si="71"/>
        <v>45992</v>
      </c>
    </row>
    <row r="711" spans="1:18" x14ac:dyDescent="0.25">
      <c r="A711" s="5" t="s">
        <v>1314</v>
      </c>
      <c r="B711" s="14">
        <v>45727</v>
      </c>
      <c r="C711" s="5" t="s">
        <v>922</v>
      </c>
      <c r="D711" s="10" t="s">
        <v>14</v>
      </c>
      <c r="E711" s="10" t="s">
        <v>136</v>
      </c>
      <c r="F711" s="10" t="s">
        <v>75</v>
      </c>
      <c r="G711" s="15">
        <v>3</v>
      </c>
      <c r="H711" s="11">
        <v>4296.2019999999993</v>
      </c>
      <c r="I711" s="12">
        <v>0</v>
      </c>
      <c r="J711" s="11">
        <v>12888.605999999998</v>
      </c>
      <c r="K711" s="11">
        <v>2056.3098999999997</v>
      </c>
      <c r="L711" s="10" t="s">
        <v>23</v>
      </c>
      <c r="M711" s="5">
        <f t="shared" si="66"/>
        <v>2025</v>
      </c>
      <c r="N711" s="5">
        <f t="shared" si="67"/>
        <v>3</v>
      </c>
      <c r="O711" s="21">
        <f t="shared" si="68"/>
        <v>45717</v>
      </c>
      <c r="P711" s="13">
        <f t="shared" si="69"/>
        <v>0.15954478707782674</v>
      </c>
      <c r="Q711" s="5">
        <f t="shared" si="70"/>
        <v>202503</v>
      </c>
      <c r="R711" s="21">
        <f t="shared" si="71"/>
        <v>45717</v>
      </c>
    </row>
    <row r="712" spans="1:18" x14ac:dyDescent="0.25">
      <c r="A712" s="5" t="s">
        <v>1315</v>
      </c>
      <c r="B712" s="14">
        <v>45763</v>
      </c>
      <c r="C712" s="5" t="s">
        <v>1316</v>
      </c>
      <c r="D712" s="10" t="s">
        <v>37</v>
      </c>
      <c r="E712" s="10" t="s">
        <v>314</v>
      </c>
      <c r="F712" s="10" t="s">
        <v>16</v>
      </c>
      <c r="G712" s="15">
        <v>1</v>
      </c>
      <c r="H712" s="11">
        <v>2409.2797999999998</v>
      </c>
      <c r="I712" s="12">
        <v>20</v>
      </c>
      <c r="J712" s="11">
        <v>1927.6131</v>
      </c>
      <c r="K712" s="11">
        <v>396.49970000000002</v>
      </c>
      <c r="L712" s="10" t="s">
        <v>17</v>
      </c>
      <c r="M712" s="5">
        <f t="shared" si="66"/>
        <v>2025</v>
      </c>
      <c r="N712" s="5">
        <f t="shared" si="67"/>
        <v>4</v>
      </c>
      <c r="O712" s="21">
        <f t="shared" si="68"/>
        <v>45748</v>
      </c>
      <c r="P712" s="13">
        <f t="shared" si="69"/>
        <v>0.20569464899361808</v>
      </c>
      <c r="Q712" s="5">
        <f t="shared" si="70"/>
        <v>202504</v>
      </c>
      <c r="R712" s="21">
        <f t="shared" si="71"/>
        <v>45748</v>
      </c>
    </row>
    <row r="713" spans="1:18" x14ac:dyDescent="0.25">
      <c r="A713" s="5" t="s">
        <v>1317</v>
      </c>
      <c r="B713" s="14">
        <v>45502</v>
      </c>
      <c r="C713" s="5" t="s">
        <v>1318</v>
      </c>
      <c r="D713" s="10" t="s">
        <v>20</v>
      </c>
      <c r="E713" s="10" t="s">
        <v>74</v>
      </c>
      <c r="F713" s="10" t="s">
        <v>75</v>
      </c>
      <c r="G713" s="15">
        <v>2</v>
      </c>
      <c r="H713" s="11">
        <v>3594.0473999999995</v>
      </c>
      <c r="I713" s="12">
        <v>10</v>
      </c>
      <c r="J713" s="11">
        <v>6468.9067999999997</v>
      </c>
      <c r="K713" s="11">
        <v>1792.2922000000001</v>
      </c>
      <c r="L713" s="10" t="s">
        <v>17</v>
      </c>
      <c r="M713" s="5">
        <f t="shared" si="66"/>
        <v>2024</v>
      </c>
      <c r="N713" s="5">
        <f t="shared" si="67"/>
        <v>7</v>
      </c>
      <c r="O713" s="21">
        <f t="shared" si="68"/>
        <v>45474</v>
      </c>
      <c r="P713" s="13">
        <f t="shared" si="69"/>
        <v>0.27706260971328267</v>
      </c>
      <c r="Q713" s="5">
        <f t="shared" si="70"/>
        <v>202407</v>
      </c>
      <c r="R713" s="21">
        <f t="shared" si="71"/>
        <v>45474</v>
      </c>
    </row>
    <row r="714" spans="1:18" x14ac:dyDescent="0.25">
      <c r="A714" s="5" t="s">
        <v>1319</v>
      </c>
      <c r="B714" s="14">
        <v>45335</v>
      </c>
      <c r="C714" s="5" t="s">
        <v>1320</v>
      </c>
      <c r="D714" s="10" t="s">
        <v>42</v>
      </c>
      <c r="E714" s="10" t="s">
        <v>269</v>
      </c>
      <c r="F714" s="10" t="s">
        <v>75</v>
      </c>
      <c r="G714" s="15">
        <v>2</v>
      </c>
      <c r="H714" s="11">
        <v>1870.8350999999998</v>
      </c>
      <c r="I714" s="12">
        <v>20</v>
      </c>
      <c r="J714" s="11">
        <v>2993.1468999999997</v>
      </c>
      <c r="K714" s="11">
        <v>1044.7151999999999</v>
      </c>
      <c r="L714" s="10" t="s">
        <v>34</v>
      </c>
      <c r="M714" s="5">
        <f t="shared" si="66"/>
        <v>2024</v>
      </c>
      <c r="N714" s="5">
        <f t="shared" si="67"/>
        <v>2</v>
      </c>
      <c r="O714" s="21">
        <f t="shared" si="68"/>
        <v>45323</v>
      </c>
      <c r="P714" s="13">
        <f t="shared" si="69"/>
        <v>0.34903572557698387</v>
      </c>
      <c r="Q714" s="5">
        <f t="shared" si="70"/>
        <v>202402</v>
      </c>
      <c r="R714" s="21">
        <f t="shared" si="71"/>
        <v>45323</v>
      </c>
    </row>
    <row r="715" spans="1:18" x14ac:dyDescent="0.25">
      <c r="A715" s="5" t="s">
        <v>1321</v>
      </c>
      <c r="B715" s="14">
        <v>45836</v>
      </c>
      <c r="C715" s="5" t="s">
        <v>71</v>
      </c>
      <c r="D715" s="10" t="s">
        <v>42</v>
      </c>
      <c r="E715" s="10" t="s">
        <v>74</v>
      </c>
      <c r="F715" s="10" t="s">
        <v>75</v>
      </c>
      <c r="G715" s="15">
        <v>1</v>
      </c>
      <c r="H715" s="11">
        <v>1560.4486999999997</v>
      </c>
      <c r="I715" s="12">
        <v>0</v>
      </c>
      <c r="J715" s="11">
        <v>1560.4486999999997</v>
      </c>
      <c r="K715" s="11">
        <v>250.76949999999999</v>
      </c>
      <c r="L715" s="10" t="s">
        <v>23</v>
      </c>
      <c r="M715" s="5">
        <f t="shared" si="66"/>
        <v>2025</v>
      </c>
      <c r="N715" s="5">
        <f t="shared" si="67"/>
        <v>6</v>
      </c>
      <c r="O715" s="21">
        <f t="shared" si="68"/>
        <v>45809</v>
      </c>
      <c r="P715" s="13">
        <f t="shared" si="69"/>
        <v>0.16070345664038815</v>
      </c>
      <c r="Q715" s="5">
        <f t="shared" si="70"/>
        <v>202506</v>
      </c>
      <c r="R715" s="21">
        <f t="shared" si="71"/>
        <v>45809</v>
      </c>
    </row>
    <row r="716" spans="1:18" x14ac:dyDescent="0.25">
      <c r="A716" s="5" t="s">
        <v>1322</v>
      </c>
      <c r="B716" s="14">
        <v>45820</v>
      </c>
      <c r="C716" s="5" t="s">
        <v>1323</v>
      </c>
      <c r="D716" s="10" t="s">
        <v>37</v>
      </c>
      <c r="E716" s="10" t="s">
        <v>15</v>
      </c>
      <c r="F716" s="10" t="s">
        <v>16</v>
      </c>
      <c r="G716" s="15">
        <v>2</v>
      </c>
      <c r="H716" s="11">
        <v>13198.0461</v>
      </c>
      <c r="I716" s="12">
        <v>15</v>
      </c>
      <c r="J716" s="11">
        <v>22436.772999999997</v>
      </c>
      <c r="K716" s="11">
        <v>1870.8350999999998</v>
      </c>
      <c r="L716" s="10" t="s">
        <v>17</v>
      </c>
      <c r="M716" s="5">
        <f t="shared" si="66"/>
        <v>2025</v>
      </c>
      <c r="N716" s="5">
        <f t="shared" si="67"/>
        <v>6</v>
      </c>
      <c r="O716" s="21">
        <f t="shared" si="68"/>
        <v>45809</v>
      </c>
      <c r="P716" s="13">
        <f t="shared" si="69"/>
        <v>8.3382539013074658E-2</v>
      </c>
      <c r="Q716" s="5">
        <f t="shared" si="70"/>
        <v>202506</v>
      </c>
      <c r="R716" s="21">
        <f t="shared" si="71"/>
        <v>45809</v>
      </c>
    </row>
    <row r="717" spans="1:18" x14ac:dyDescent="0.25">
      <c r="A717" s="5" t="s">
        <v>1324</v>
      </c>
      <c r="B717" s="14">
        <v>45475</v>
      </c>
      <c r="C717" s="5" t="s">
        <v>1325</v>
      </c>
      <c r="D717" s="10" t="s">
        <v>26</v>
      </c>
      <c r="E717" s="10" t="s">
        <v>253</v>
      </c>
      <c r="F717" s="10" t="s">
        <v>49</v>
      </c>
      <c r="G717" s="15">
        <v>3</v>
      </c>
      <c r="H717" s="11">
        <v>2604.2175999999999</v>
      </c>
      <c r="I717" s="12">
        <v>10</v>
      </c>
      <c r="J717" s="11">
        <v>7031.0089999999991</v>
      </c>
      <c r="K717" s="11">
        <v>2484.0374999999999</v>
      </c>
      <c r="L717" s="10" t="s">
        <v>23</v>
      </c>
      <c r="M717" s="5">
        <f t="shared" si="66"/>
        <v>2024</v>
      </c>
      <c r="N717" s="5">
        <f t="shared" si="67"/>
        <v>7</v>
      </c>
      <c r="O717" s="21">
        <f t="shared" si="68"/>
        <v>45474</v>
      </c>
      <c r="P717" s="13">
        <f t="shared" si="69"/>
        <v>0.35329744279946168</v>
      </c>
      <c r="Q717" s="5">
        <f t="shared" si="70"/>
        <v>202407</v>
      </c>
      <c r="R717" s="21">
        <f t="shared" si="71"/>
        <v>45474</v>
      </c>
    </row>
    <row r="718" spans="1:18" x14ac:dyDescent="0.25">
      <c r="A718" s="5" t="s">
        <v>1326</v>
      </c>
      <c r="B718" s="14">
        <v>45509</v>
      </c>
      <c r="C718" s="5" t="s">
        <v>939</v>
      </c>
      <c r="D718" s="10" t="s">
        <v>14</v>
      </c>
      <c r="E718" s="10" t="s">
        <v>33</v>
      </c>
      <c r="F718" s="10" t="s">
        <v>16</v>
      </c>
      <c r="G718" s="15">
        <v>1</v>
      </c>
      <c r="H718" s="11">
        <v>7380.1936999999989</v>
      </c>
      <c r="I718" s="12">
        <v>5</v>
      </c>
      <c r="J718" s="11">
        <v>7011.1367</v>
      </c>
      <c r="K718" s="11">
        <v>1113.7950999999998</v>
      </c>
      <c r="L718" s="10" t="s">
        <v>17</v>
      </c>
      <c r="M718" s="5">
        <f t="shared" si="66"/>
        <v>2024</v>
      </c>
      <c r="N718" s="5">
        <f t="shared" si="67"/>
        <v>8</v>
      </c>
      <c r="O718" s="21">
        <f t="shared" si="68"/>
        <v>45505</v>
      </c>
      <c r="P718" s="13">
        <f t="shared" si="69"/>
        <v>0.15886084491834254</v>
      </c>
      <c r="Q718" s="5">
        <f t="shared" si="70"/>
        <v>202408</v>
      </c>
      <c r="R718" s="21">
        <f t="shared" si="71"/>
        <v>45505</v>
      </c>
    </row>
    <row r="719" spans="1:18" x14ac:dyDescent="0.25">
      <c r="A719" s="5" t="s">
        <v>1327</v>
      </c>
      <c r="B719" s="14">
        <v>45992</v>
      </c>
      <c r="C719" s="5" t="s">
        <v>318</v>
      </c>
      <c r="D719" s="10" t="s">
        <v>26</v>
      </c>
      <c r="E719" s="10" t="s">
        <v>83</v>
      </c>
      <c r="F719" s="10" t="s">
        <v>22</v>
      </c>
      <c r="G719" s="15">
        <v>3</v>
      </c>
      <c r="H719" s="11">
        <v>2953.4022999999997</v>
      </c>
      <c r="I719" s="12">
        <v>10</v>
      </c>
      <c r="J719" s="11">
        <v>7974.4700999999995</v>
      </c>
      <c r="K719" s="11">
        <v>5145.0330999999996</v>
      </c>
      <c r="L719" s="10" t="s">
        <v>17</v>
      </c>
      <c r="M719" s="5">
        <f t="shared" si="66"/>
        <v>2025</v>
      </c>
      <c r="N719" s="5">
        <f t="shared" si="67"/>
        <v>12</v>
      </c>
      <c r="O719" s="21">
        <f t="shared" si="68"/>
        <v>45992</v>
      </c>
      <c r="P719" s="13">
        <f t="shared" si="69"/>
        <v>0.64518808591432297</v>
      </c>
      <c r="Q719" s="5">
        <f t="shared" si="70"/>
        <v>202512</v>
      </c>
      <c r="R719" s="21">
        <f t="shared" si="71"/>
        <v>45992</v>
      </c>
    </row>
    <row r="720" spans="1:18" x14ac:dyDescent="0.25">
      <c r="A720" s="5" t="s">
        <v>1328</v>
      </c>
      <c r="B720" s="14">
        <v>45945</v>
      </c>
      <c r="C720" s="5" t="s">
        <v>45</v>
      </c>
      <c r="D720" s="10" t="s">
        <v>26</v>
      </c>
      <c r="E720" s="10" t="s">
        <v>286</v>
      </c>
      <c r="F720" s="10" t="s">
        <v>39</v>
      </c>
      <c r="G720" s="15">
        <v>1</v>
      </c>
      <c r="H720" s="11">
        <v>2102.6785999999997</v>
      </c>
      <c r="I720" s="12">
        <v>0</v>
      </c>
      <c r="J720" s="11">
        <v>2102.6785999999997</v>
      </c>
      <c r="K720" s="11">
        <v>620.77279999999996</v>
      </c>
      <c r="L720" s="10" t="s">
        <v>23</v>
      </c>
      <c r="M720" s="5">
        <f t="shared" si="66"/>
        <v>2025</v>
      </c>
      <c r="N720" s="5">
        <f t="shared" si="67"/>
        <v>10</v>
      </c>
      <c r="O720" s="21">
        <f t="shared" si="68"/>
        <v>45931</v>
      </c>
      <c r="P720" s="13">
        <f t="shared" si="69"/>
        <v>0.29522952295229526</v>
      </c>
      <c r="Q720" s="5">
        <f t="shared" si="70"/>
        <v>202510</v>
      </c>
      <c r="R720" s="21">
        <f t="shared" si="71"/>
        <v>45931</v>
      </c>
    </row>
    <row r="721" spans="1:18" x14ac:dyDescent="0.25">
      <c r="A721" s="5" t="s">
        <v>1329</v>
      </c>
      <c r="B721" s="14">
        <v>45848</v>
      </c>
      <c r="C721" s="5" t="s">
        <v>702</v>
      </c>
      <c r="D721" s="10" t="s">
        <v>26</v>
      </c>
      <c r="E721" s="10" t="s">
        <v>88</v>
      </c>
      <c r="F721" s="10" t="s">
        <v>22</v>
      </c>
      <c r="G721" s="15">
        <v>4</v>
      </c>
      <c r="H721" s="11">
        <v>1968.3039999999999</v>
      </c>
      <c r="I721" s="12">
        <v>25</v>
      </c>
      <c r="J721" s="11">
        <v>5904.9119999999994</v>
      </c>
      <c r="K721" s="11">
        <v>3808.8574999999996</v>
      </c>
      <c r="L721" s="10" t="s">
        <v>23</v>
      </c>
      <c r="M721" s="5">
        <f t="shared" si="66"/>
        <v>2025</v>
      </c>
      <c r="N721" s="5">
        <f t="shared" si="67"/>
        <v>7</v>
      </c>
      <c r="O721" s="21">
        <f t="shared" si="68"/>
        <v>45839</v>
      </c>
      <c r="P721" s="13">
        <f t="shared" si="69"/>
        <v>0.64503205128205132</v>
      </c>
      <c r="Q721" s="5">
        <f t="shared" si="70"/>
        <v>202507</v>
      </c>
      <c r="R721" s="21">
        <f t="shared" si="71"/>
        <v>45839</v>
      </c>
    </row>
    <row r="722" spans="1:18" x14ac:dyDescent="0.25">
      <c r="A722" s="5" t="s">
        <v>1330</v>
      </c>
      <c r="B722" s="14">
        <v>45560</v>
      </c>
      <c r="C722" s="5" t="s">
        <v>1331</v>
      </c>
      <c r="D722" s="10" t="s">
        <v>42</v>
      </c>
      <c r="E722" s="10" t="s">
        <v>154</v>
      </c>
      <c r="F722" s="10" t="s">
        <v>39</v>
      </c>
      <c r="G722" s="15">
        <v>2</v>
      </c>
      <c r="H722" s="11">
        <v>5129.8922999999995</v>
      </c>
      <c r="I722" s="12">
        <v>0</v>
      </c>
      <c r="J722" s="11">
        <v>10259.784599999999</v>
      </c>
      <c r="K722" s="11">
        <v>2186.8993</v>
      </c>
      <c r="L722" s="10" t="s">
        <v>23</v>
      </c>
      <c r="M722" s="5">
        <f t="shared" si="66"/>
        <v>2024</v>
      </c>
      <c r="N722" s="5">
        <f t="shared" si="67"/>
        <v>9</v>
      </c>
      <c r="O722" s="21">
        <f t="shared" si="68"/>
        <v>45536</v>
      </c>
      <c r="P722" s="13">
        <f t="shared" si="69"/>
        <v>0.21315255487917362</v>
      </c>
      <c r="Q722" s="5">
        <f t="shared" si="70"/>
        <v>202409</v>
      </c>
      <c r="R722" s="21">
        <f t="shared" si="71"/>
        <v>45536</v>
      </c>
    </row>
    <row r="723" spans="1:18" x14ac:dyDescent="0.25">
      <c r="A723" s="5" t="s">
        <v>1332</v>
      </c>
      <c r="B723" s="14">
        <v>45455</v>
      </c>
      <c r="C723" s="5" t="s">
        <v>1248</v>
      </c>
      <c r="D723" s="10" t="s">
        <v>42</v>
      </c>
      <c r="E723" s="10" t="s">
        <v>269</v>
      </c>
      <c r="F723" s="10" t="s">
        <v>75</v>
      </c>
      <c r="G723" s="15">
        <v>3</v>
      </c>
      <c r="H723" s="11">
        <v>2428.2057999999997</v>
      </c>
      <c r="I723" s="12">
        <v>10</v>
      </c>
      <c r="J723" s="11">
        <v>6555.9663999999993</v>
      </c>
      <c r="K723" s="11">
        <v>1573.6968999999999</v>
      </c>
      <c r="L723" s="10" t="s">
        <v>17</v>
      </c>
      <c r="M723" s="5">
        <f t="shared" si="66"/>
        <v>2024</v>
      </c>
      <c r="N723" s="5">
        <f t="shared" si="67"/>
        <v>6</v>
      </c>
      <c r="O723" s="21">
        <f t="shared" si="68"/>
        <v>45444</v>
      </c>
      <c r="P723" s="13">
        <f t="shared" si="69"/>
        <v>0.240040415704388</v>
      </c>
      <c r="Q723" s="5">
        <f t="shared" si="70"/>
        <v>202406</v>
      </c>
      <c r="R723" s="21">
        <f t="shared" si="71"/>
        <v>45444</v>
      </c>
    </row>
    <row r="724" spans="1:18" x14ac:dyDescent="0.25">
      <c r="A724" s="5" t="s">
        <v>1333</v>
      </c>
      <c r="B724" s="14">
        <v>45498</v>
      </c>
      <c r="C724" s="5" t="s">
        <v>655</v>
      </c>
      <c r="D724" s="10" t="s">
        <v>37</v>
      </c>
      <c r="E724" s="10" t="s">
        <v>74</v>
      </c>
      <c r="F724" s="10" t="s">
        <v>75</v>
      </c>
      <c r="G724" s="15">
        <v>1</v>
      </c>
      <c r="H724" s="11">
        <v>4934.9544999999998</v>
      </c>
      <c r="I724" s="12">
        <v>10</v>
      </c>
      <c r="J724" s="11">
        <v>4441.9321999999993</v>
      </c>
      <c r="K724" s="11">
        <v>863.97190000000001</v>
      </c>
      <c r="L724" s="10" t="s">
        <v>23</v>
      </c>
      <c r="M724" s="5">
        <f t="shared" si="66"/>
        <v>2024</v>
      </c>
      <c r="N724" s="5">
        <f t="shared" si="67"/>
        <v>7</v>
      </c>
      <c r="O724" s="21">
        <f t="shared" si="68"/>
        <v>45474</v>
      </c>
      <c r="P724" s="13">
        <f t="shared" si="69"/>
        <v>0.19450362164465279</v>
      </c>
      <c r="Q724" s="5">
        <f t="shared" si="70"/>
        <v>202407</v>
      </c>
      <c r="R724" s="21">
        <f t="shared" si="71"/>
        <v>45474</v>
      </c>
    </row>
    <row r="725" spans="1:18" x14ac:dyDescent="0.25">
      <c r="A725" s="5" t="s">
        <v>1334</v>
      </c>
      <c r="B725" s="14">
        <v>45298</v>
      </c>
      <c r="C725" s="5" t="s">
        <v>1335</v>
      </c>
      <c r="D725" s="10" t="s">
        <v>37</v>
      </c>
      <c r="E725" s="10" t="s">
        <v>27</v>
      </c>
      <c r="F725" s="10" t="s">
        <v>22</v>
      </c>
      <c r="G725" s="15">
        <v>3</v>
      </c>
      <c r="H725" s="11">
        <v>3379.2372999999998</v>
      </c>
      <c r="I725" s="12">
        <v>0</v>
      </c>
      <c r="J725" s="11">
        <v>10137.711899999998</v>
      </c>
      <c r="K725" s="11">
        <v>4495.8712999999998</v>
      </c>
      <c r="L725" s="10" t="s">
        <v>17</v>
      </c>
      <c r="M725" s="5">
        <f t="shared" si="66"/>
        <v>2024</v>
      </c>
      <c r="N725" s="5">
        <f t="shared" si="67"/>
        <v>1</v>
      </c>
      <c r="O725" s="21">
        <f t="shared" si="68"/>
        <v>45292</v>
      </c>
      <c r="P725" s="13">
        <f t="shared" si="69"/>
        <v>0.44347988425277707</v>
      </c>
      <c r="Q725" s="5">
        <f t="shared" si="70"/>
        <v>202401</v>
      </c>
      <c r="R725" s="21">
        <f t="shared" si="71"/>
        <v>45292</v>
      </c>
    </row>
    <row r="726" spans="1:18" x14ac:dyDescent="0.25">
      <c r="A726" s="5" t="s">
        <v>1336</v>
      </c>
      <c r="B726" s="14">
        <v>45384</v>
      </c>
      <c r="C726" s="5" t="s">
        <v>1337</v>
      </c>
      <c r="D726" s="10" t="s">
        <v>37</v>
      </c>
      <c r="E726" s="10" t="s">
        <v>48</v>
      </c>
      <c r="F726" s="10" t="s">
        <v>49</v>
      </c>
      <c r="G726" s="15">
        <v>4</v>
      </c>
      <c r="H726" s="11">
        <v>3209.8496</v>
      </c>
      <c r="I726" s="12">
        <v>20</v>
      </c>
      <c r="J726" s="11">
        <v>10271.1402</v>
      </c>
      <c r="K726" s="11">
        <v>3350.8482999999997</v>
      </c>
      <c r="L726" s="10" t="s">
        <v>23</v>
      </c>
      <c r="M726" s="5">
        <f t="shared" si="66"/>
        <v>2024</v>
      </c>
      <c r="N726" s="5">
        <f t="shared" si="67"/>
        <v>4</v>
      </c>
      <c r="O726" s="21">
        <f t="shared" si="68"/>
        <v>45383</v>
      </c>
      <c r="P726" s="13">
        <f t="shared" si="69"/>
        <v>0.32623917449788092</v>
      </c>
      <c r="Q726" s="5">
        <f t="shared" si="70"/>
        <v>202404</v>
      </c>
      <c r="R726" s="21">
        <f t="shared" si="71"/>
        <v>45383</v>
      </c>
    </row>
    <row r="727" spans="1:18" x14ac:dyDescent="0.25">
      <c r="A727" s="5" t="s">
        <v>1338</v>
      </c>
      <c r="B727" s="14">
        <v>45470</v>
      </c>
      <c r="C727" s="5" t="s">
        <v>1339</v>
      </c>
      <c r="D727" s="10" t="s">
        <v>20</v>
      </c>
      <c r="E727" s="10" t="s">
        <v>232</v>
      </c>
      <c r="F727" s="10" t="s">
        <v>22</v>
      </c>
      <c r="G727" s="15">
        <v>2</v>
      </c>
      <c r="H727" s="11">
        <v>2181.2215000000001</v>
      </c>
      <c r="I727" s="12">
        <v>0</v>
      </c>
      <c r="J727" s="11">
        <v>4362.4430000000002</v>
      </c>
      <c r="K727" s="11">
        <v>1861.3721</v>
      </c>
      <c r="L727" s="10" t="s">
        <v>34</v>
      </c>
      <c r="M727" s="5">
        <f t="shared" si="66"/>
        <v>2024</v>
      </c>
      <c r="N727" s="5">
        <f t="shared" si="67"/>
        <v>6</v>
      </c>
      <c r="O727" s="21">
        <f t="shared" si="68"/>
        <v>45444</v>
      </c>
      <c r="P727" s="13">
        <f t="shared" si="69"/>
        <v>0.4266811279826464</v>
      </c>
      <c r="Q727" s="5">
        <f t="shared" si="70"/>
        <v>202406</v>
      </c>
      <c r="R727" s="21">
        <f t="shared" si="71"/>
        <v>45444</v>
      </c>
    </row>
    <row r="728" spans="1:18" x14ac:dyDescent="0.25">
      <c r="A728" s="5" t="s">
        <v>1340</v>
      </c>
      <c r="B728" s="14">
        <v>45698</v>
      </c>
      <c r="C728" s="5" t="s">
        <v>922</v>
      </c>
      <c r="D728" s="10" t="s">
        <v>37</v>
      </c>
      <c r="E728" s="10" t="s">
        <v>187</v>
      </c>
      <c r="F728" s="10" t="s">
        <v>75</v>
      </c>
      <c r="G728" s="15">
        <v>2</v>
      </c>
      <c r="H728" s="11">
        <v>3242.9701</v>
      </c>
      <c r="I728" s="12">
        <v>0</v>
      </c>
      <c r="J728" s="11">
        <v>6485.9402</v>
      </c>
      <c r="K728" s="11">
        <v>1726.0511999999999</v>
      </c>
      <c r="L728" s="10" t="s">
        <v>34</v>
      </c>
      <c r="M728" s="5">
        <f t="shared" si="66"/>
        <v>2025</v>
      </c>
      <c r="N728" s="5">
        <f t="shared" si="67"/>
        <v>2</v>
      </c>
      <c r="O728" s="21">
        <f t="shared" si="68"/>
        <v>45689</v>
      </c>
      <c r="P728" s="13">
        <f t="shared" si="69"/>
        <v>0.26612197257076159</v>
      </c>
      <c r="Q728" s="5">
        <f t="shared" si="70"/>
        <v>202502</v>
      </c>
      <c r="R728" s="21">
        <f t="shared" si="71"/>
        <v>45689</v>
      </c>
    </row>
    <row r="729" spans="1:18" x14ac:dyDescent="0.25">
      <c r="A729" s="5" t="s">
        <v>1341</v>
      </c>
      <c r="B729" s="14">
        <v>45667</v>
      </c>
      <c r="C729" s="5" t="s">
        <v>713</v>
      </c>
      <c r="D729" s="10" t="s">
        <v>42</v>
      </c>
      <c r="E729" s="10" t="s">
        <v>88</v>
      </c>
      <c r="F729" s="10" t="s">
        <v>22</v>
      </c>
      <c r="G729" s="15">
        <v>3</v>
      </c>
      <c r="H729" s="11">
        <v>3328.1370999999999</v>
      </c>
      <c r="I729" s="12">
        <v>0</v>
      </c>
      <c r="J729" s="11">
        <v>9984.4112999999998</v>
      </c>
      <c r="K729" s="11">
        <v>6408.3435999999992</v>
      </c>
      <c r="L729" s="10" t="s">
        <v>17</v>
      </c>
      <c r="M729" s="5">
        <f t="shared" si="66"/>
        <v>2025</v>
      </c>
      <c r="N729" s="5">
        <f t="shared" si="67"/>
        <v>1</v>
      </c>
      <c r="O729" s="21">
        <f t="shared" si="68"/>
        <v>45658</v>
      </c>
      <c r="P729" s="13">
        <f t="shared" si="69"/>
        <v>0.64183489716614528</v>
      </c>
      <c r="Q729" s="5">
        <f t="shared" si="70"/>
        <v>202501</v>
      </c>
      <c r="R729" s="21">
        <f t="shared" si="71"/>
        <v>45658</v>
      </c>
    </row>
    <row r="730" spans="1:18" x14ac:dyDescent="0.25">
      <c r="A730" s="5" t="s">
        <v>1342</v>
      </c>
      <c r="B730" s="14">
        <v>45618</v>
      </c>
      <c r="C730" s="5" t="s">
        <v>469</v>
      </c>
      <c r="D730" s="10" t="s">
        <v>42</v>
      </c>
      <c r="E730" s="10" t="s">
        <v>177</v>
      </c>
      <c r="F730" s="10" t="s">
        <v>49</v>
      </c>
      <c r="G730" s="15">
        <v>1</v>
      </c>
      <c r="H730" s="11">
        <v>1526.3818999999999</v>
      </c>
      <c r="I730" s="12">
        <v>0</v>
      </c>
      <c r="J730" s="11">
        <v>1526.3818999999999</v>
      </c>
      <c r="K730" s="11">
        <v>675.65819999999997</v>
      </c>
      <c r="L730" s="10" t="s">
        <v>17</v>
      </c>
      <c r="M730" s="5">
        <f t="shared" si="66"/>
        <v>2024</v>
      </c>
      <c r="N730" s="5">
        <f t="shared" si="67"/>
        <v>11</v>
      </c>
      <c r="O730" s="21">
        <f t="shared" si="68"/>
        <v>45597</v>
      </c>
      <c r="P730" s="13">
        <f t="shared" si="69"/>
        <v>0.4426534407935524</v>
      </c>
      <c r="Q730" s="5">
        <f t="shared" si="70"/>
        <v>202411</v>
      </c>
      <c r="R730" s="21">
        <f t="shared" si="71"/>
        <v>45597</v>
      </c>
    </row>
    <row r="731" spans="1:18" x14ac:dyDescent="0.25">
      <c r="A731" s="5" t="s">
        <v>1343</v>
      </c>
      <c r="B731" s="14">
        <v>45380</v>
      </c>
      <c r="C731" s="5" t="s">
        <v>1344</v>
      </c>
      <c r="D731" s="10" t="s">
        <v>14</v>
      </c>
      <c r="E731" s="10" t="s">
        <v>246</v>
      </c>
      <c r="F731" s="10" t="s">
        <v>75</v>
      </c>
      <c r="G731" s="15">
        <v>3</v>
      </c>
      <c r="H731" s="11">
        <v>889.52199999999993</v>
      </c>
      <c r="I731" s="12">
        <v>5</v>
      </c>
      <c r="J731" s="11">
        <v>2535.1376999999998</v>
      </c>
      <c r="K731" s="11">
        <v>655.78589999999997</v>
      </c>
      <c r="L731" s="10" t="s">
        <v>17</v>
      </c>
      <c r="M731" s="5">
        <f t="shared" si="66"/>
        <v>2024</v>
      </c>
      <c r="N731" s="5">
        <f t="shared" si="67"/>
        <v>3</v>
      </c>
      <c r="O731" s="21">
        <f t="shared" si="68"/>
        <v>45352</v>
      </c>
      <c r="P731" s="13">
        <f t="shared" si="69"/>
        <v>0.25867861142217247</v>
      </c>
      <c r="Q731" s="5">
        <f t="shared" si="70"/>
        <v>202403</v>
      </c>
      <c r="R731" s="21">
        <f t="shared" si="71"/>
        <v>45352</v>
      </c>
    </row>
    <row r="732" spans="1:18" x14ac:dyDescent="0.25">
      <c r="A732" s="5" t="s">
        <v>1345</v>
      </c>
      <c r="B732" s="14">
        <v>45527</v>
      </c>
      <c r="C732" s="5" t="s">
        <v>1346</v>
      </c>
      <c r="D732" s="10" t="s">
        <v>42</v>
      </c>
      <c r="E732" s="10" t="s">
        <v>291</v>
      </c>
      <c r="F732" s="10" t="s">
        <v>22</v>
      </c>
      <c r="G732" s="15">
        <v>1</v>
      </c>
      <c r="H732" s="11">
        <v>4551.7029999999995</v>
      </c>
      <c r="I732" s="12">
        <v>10</v>
      </c>
      <c r="J732" s="11">
        <v>4096.5326999999997</v>
      </c>
      <c r="K732" s="11">
        <v>2547.4396000000002</v>
      </c>
      <c r="L732" s="10" t="s">
        <v>17</v>
      </c>
      <c r="M732" s="5">
        <f t="shared" si="66"/>
        <v>2024</v>
      </c>
      <c r="N732" s="5">
        <f t="shared" si="67"/>
        <v>8</v>
      </c>
      <c r="O732" s="21">
        <f t="shared" si="68"/>
        <v>45505</v>
      </c>
      <c r="P732" s="13">
        <f t="shared" si="69"/>
        <v>0.62185262185262191</v>
      </c>
      <c r="Q732" s="5">
        <f t="shared" si="70"/>
        <v>202408</v>
      </c>
      <c r="R732" s="21">
        <f t="shared" si="71"/>
        <v>45505</v>
      </c>
    </row>
    <row r="733" spans="1:18" x14ac:dyDescent="0.25">
      <c r="A733" s="5" t="s">
        <v>1347</v>
      </c>
      <c r="B733" s="14">
        <v>45612</v>
      </c>
      <c r="C733" s="5" t="s">
        <v>734</v>
      </c>
      <c r="D733" s="10" t="s">
        <v>20</v>
      </c>
      <c r="E733" s="10" t="s">
        <v>214</v>
      </c>
      <c r="F733" s="10" t="s">
        <v>49</v>
      </c>
      <c r="G733" s="15">
        <v>3</v>
      </c>
      <c r="H733" s="11">
        <v>2426.3132000000001</v>
      </c>
      <c r="I733" s="12">
        <v>10</v>
      </c>
      <c r="J733" s="11">
        <v>6551.2349000000004</v>
      </c>
      <c r="K733" s="11">
        <v>2590.9694</v>
      </c>
      <c r="L733" s="10" t="s">
        <v>17</v>
      </c>
      <c r="M733" s="5">
        <f t="shared" si="66"/>
        <v>2024</v>
      </c>
      <c r="N733" s="5">
        <f t="shared" si="67"/>
        <v>11</v>
      </c>
      <c r="O733" s="21">
        <f t="shared" si="68"/>
        <v>45597</v>
      </c>
      <c r="P733" s="13">
        <f t="shared" si="69"/>
        <v>0.39549328325870287</v>
      </c>
      <c r="Q733" s="5">
        <f t="shared" si="70"/>
        <v>202411</v>
      </c>
      <c r="R733" s="21">
        <f t="shared" si="71"/>
        <v>45597</v>
      </c>
    </row>
    <row r="734" spans="1:18" x14ac:dyDescent="0.25">
      <c r="A734" s="5" t="s">
        <v>1348</v>
      </c>
      <c r="B734" s="14">
        <v>45680</v>
      </c>
      <c r="C734" s="5" t="s">
        <v>1349</v>
      </c>
      <c r="D734" s="10" t="s">
        <v>42</v>
      </c>
      <c r="E734" s="10" t="s">
        <v>291</v>
      </c>
      <c r="F734" s="10" t="s">
        <v>22</v>
      </c>
      <c r="G734" s="15">
        <v>3</v>
      </c>
      <c r="H734" s="11">
        <v>3655.5569</v>
      </c>
      <c r="I734" s="12">
        <v>25</v>
      </c>
      <c r="J734" s="11">
        <v>8225.239599999999</v>
      </c>
      <c r="K734" s="11">
        <v>3859.9576999999999</v>
      </c>
      <c r="L734" s="10" t="s">
        <v>23</v>
      </c>
      <c r="M734" s="5">
        <f t="shared" si="66"/>
        <v>2025</v>
      </c>
      <c r="N734" s="5">
        <f t="shared" si="67"/>
        <v>1</v>
      </c>
      <c r="O734" s="21">
        <f t="shared" si="68"/>
        <v>45658</v>
      </c>
      <c r="P734" s="13">
        <f t="shared" si="69"/>
        <v>0.46928209848136221</v>
      </c>
      <c r="Q734" s="5">
        <f t="shared" si="70"/>
        <v>202501</v>
      </c>
      <c r="R734" s="21">
        <f t="shared" si="71"/>
        <v>45658</v>
      </c>
    </row>
    <row r="735" spans="1:18" x14ac:dyDescent="0.25">
      <c r="A735" s="5" t="s">
        <v>1350</v>
      </c>
      <c r="B735" s="14">
        <v>45616</v>
      </c>
      <c r="C735" s="5" t="s">
        <v>402</v>
      </c>
      <c r="D735" s="10" t="s">
        <v>20</v>
      </c>
      <c r="E735" s="10" t="s">
        <v>111</v>
      </c>
      <c r="F735" s="10" t="s">
        <v>49</v>
      </c>
      <c r="G735" s="15">
        <v>2</v>
      </c>
      <c r="H735" s="11">
        <v>6079.0311999999994</v>
      </c>
      <c r="I735" s="12">
        <v>0</v>
      </c>
      <c r="J735" s="11">
        <v>12158.062399999999</v>
      </c>
      <c r="K735" s="11">
        <v>5856.6507000000001</v>
      </c>
      <c r="L735" s="10" t="s">
        <v>17</v>
      </c>
      <c r="M735" s="5">
        <f t="shared" si="66"/>
        <v>2024</v>
      </c>
      <c r="N735" s="5">
        <f t="shared" si="67"/>
        <v>11</v>
      </c>
      <c r="O735" s="21">
        <f t="shared" si="68"/>
        <v>45597</v>
      </c>
      <c r="P735" s="13">
        <f t="shared" si="69"/>
        <v>0.48170921544209222</v>
      </c>
      <c r="Q735" s="5">
        <f t="shared" si="70"/>
        <v>202411</v>
      </c>
      <c r="R735" s="21">
        <f t="shared" si="71"/>
        <v>45597</v>
      </c>
    </row>
    <row r="736" spans="1:18" x14ac:dyDescent="0.25">
      <c r="A736" s="5" t="s">
        <v>1351</v>
      </c>
      <c r="B736" s="14">
        <v>45319</v>
      </c>
      <c r="C736" s="5" t="s">
        <v>1352</v>
      </c>
      <c r="D736" s="10" t="s">
        <v>37</v>
      </c>
      <c r="E736" s="10" t="s">
        <v>502</v>
      </c>
      <c r="F736" s="10" t="s">
        <v>22</v>
      </c>
      <c r="G736" s="15">
        <v>2</v>
      </c>
      <c r="H736" s="11">
        <v>3738.8312999999998</v>
      </c>
      <c r="I736" s="12">
        <v>25</v>
      </c>
      <c r="J736" s="11">
        <v>5608.7201000000005</v>
      </c>
      <c r="K736" s="11">
        <v>3048.9785999999999</v>
      </c>
      <c r="L736" s="10" t="s">
        <v>17</v>
      </c>
      <c r="M736" s="5">
        <f t="shared" si="66"/>
        <v>2024</v>
      </c>
      <c r="N736" s="5">
        <f t="shared" si="67"/>
        <v>1</v>
      </c>
      <c r="O736" s="21">
        <f t="shared" si="68"/>
        <v>45292</v>
      </c>
      <c r="P736" s="13">
        <f t="shared" si="69"/>
        <v>0.5436139699679432</v>
      </c>
      <c r="Q736" s="5">
        <f t="shared" si="70"/>
        <v>202401</v>
      </c>
      <c r="R736" s="21">
        <f t="shared" si="71"/>
        <v>45292</v>
      </c>
    </row>
    <row r="737" spans="1:18" x14ac:dyDescent="0.25">
      <c r="A737" s="5" t="s">
        <v>1353</v>
      </c>
      <c r="B737" s="14">
        <v>45402</v>
      </c>
      <c r="C737" s="5" t="s">
        <v>647</v>
      </c>
      <c r="D737" s="10" t="s">
        <v>42</v>
      </c>
      <c r="E737" s="10" t="s">
        <v>55</v>
      </c>
      <c r="F737" s="10" t="s">
        <v>16</v>
      </c>
      <c r="G737" s="15">
        <v>1</v>
      </c>
      <c r="H737" s="11">
        <v>13962.656500000001</v>
      </c>
      <c r="I737" s="12">
        <v>0</v>
      </c>
      <c r="J737" s="11">
        <v>13962.656500000001</v>
      </c>
      <c r="K737" s="11">
        <v>1776.2050999999999</v>
      </c>
      <c r="L737" s="10" t="s">
        <v>17</v>
      </c>
      <c r="M737" s="5">
        <f t="shared" si="66"/>
        <v>2024</v>
      </c>
      <c r="N737" s="5">
        <f t="shared" si="67"/>
        <v>4</v>
      </c>
      <c r="O737" s="21">
        <f t="shared" si="68"/>
        <v>45383</v>
      </c>
      <c r="P737" s="13">
        <f t="shared" si="69"/>
        <v>0.12721111487631309</v>
      </c>
      <c r="Q737" s="5">
        <f t="shared" si="70"/>
        <v>202404</v>
      </c>
      <c r="R737" s="21">
        <f t="shared" si="71"/>
        <v>45383</v>
      </c>
    </row>
    <row r="738" spans="1:18" x14ac:dyDescent="0.25">
      <c r="A738" s="5" t="s">
        <v>1354</v>
      </c>
      <c r="B738" s="14">
        <v>45772</v>
      </c>
      <c r="C738" s="5" t="s">
        <v>506</v>
      </c>
      <c r="D738" s="10" t="s">
        <v>20</v>
      </c>
      <c r="E738" s="10" t="s">
        <v>141</v>
      </c>
      <c r="F738" s="10" t="s">
        <v>16</v>
      </c>
      <c r="G738" s="15">
        <v>1</v>
      </c>
      <c r="H738" s="11">
        <v>2783.0682999999999</v>
      </c>
      <c r="I738" s="12">
        <v>5</v>
      </c>
      <c r="J738" s="11">
        <v>2643.9621999999999</v>
      </c>
      <c r="K738" s="11">
        <v>379.46629999999999</v>
      </c>
      <c r="L738" s="10" t="s">
        <v>23</v>
      </c>
      <c r="M738" s="5">
        <f t="shared" si="66"/>
        <v>2025</v>
      </c>
      <c r="N738" s="5">
        <f t="shared" si="67"/>
        <v>4</v>
      </c>
      <c r="O738" s="21">
        <f t="shared" si="68"/>
        <v>45748</v>
      </c>
      <c r="P738" s="13">
        <f t="shared" si="69"/>
        <v>0.14352183249821046</v>
      </c>
      <c r="Q738" s="5">
        <f t="shared" si="70"/>
        <v>202504</v>
      </c>
      <c r="R738" s="21">
        <f t="shared" si="71"/>
        <v>45748</v>
      </c>
    </row>
    <row r="739" spans="1:18" x14ac:dyDescent="0.25">
      <c r="A739" s="5" t="s">
        <v>1355</v>
      </c>
      <c r="B739" s="14">
        <v>45990</v>
      </c>
      <c r="C739" s="5" t="s">
        <v>1356</v>
      </c>
      <c r="D739" s="10" t="s">
        <v>26</v>
      </c>
      <c r="E739" s="10" t="s">
        <v>48</v>
      </c>
      <c r="F739" s="10" t="s">
        <v>49</v>
      </c>
      <c r="G739" s="15">
        <v>1</v>
      </c>
      <c r="H739" s="11">
        <v>5558.5662000000002</v>
      </c>
      <c r="I739" s="12">
        <v>0</v>
      </c>
      <c r="J739" s="11">
        <v>5558.5662000000002</v>
      </c>
      <c r="K739" s="11">
        <v>2075.2358999999997</v>
      </c>
      <c r="L739" s="10" t="s">
        <v>23</v>
      </c>
      <c r="M739" s="5">
        <f t="shared" si="66"/>
        <v>2025</v>
      </c>
      <c r="N739" s="5">
        <f t="shared" si="67"/>
        <v>11</v>
      </c>
      <c r="O739" s="21">
        <f t="shared" si="68"/>
        <v>45962</v>
      </c>
      <c r="P739" s="13">
        <f t="shared" si="69"/>
        <v>0.37334014300306428</v>
      </c>
      <c r="Q739" s="5">
        <f t="shared" si="70"/>
        <v>202511</v>
      </c>
      <c r="R739" s="21">
        <f t="shared" si="71"/>
        <v>45962</v>
      </c>
    </row>
    <row r="740" spans="1:18" x14ac:dyDescent="0.25">
      <c r="A740" s="5" t="s">
        <v>1357</v>
      </c>
      <c r="B740" s="14">
        <v>45957</v>
      </c>
      <c r="C740" s="5" t="s">
        <v>1358</v>
      </c>
      <c r="D740" s="10" t="s">
        <v>26</v>
      </c>
      <c r="E740" s="10" t="s">
        <v>222</v>
      </c>
      <c r="F740" s="10" t="s">
        <v>22</v>
      </c>
      <c r="G740" s="15">
        <v>3</v>
      </c>
      <c r="H740" s="11">
        <v>4151.4180999999999</v>
      </c>
      <c r="I740" s="12">
        <v>10</v>
      </c>
      <c r="J740" s="11">
        <v>11208.923499999999</v>
      </c>
      <c r="K740" s="11">
        <v>5688.2092999999995</v>
      </c>
      <c r="L740" s="10" t="s">
        <v>23</v>
      </c>
      <c r="M740" s="5">
        <f t="shared" si="66"/>
        <v>2025</v>
      </c>
      <c r="N740" s="5">
        <f t="shared" si="67"/>
        <v>10</v>
      </c>
      <c r="O740" s="21">
        <f t="shared" si="68"/>
        <v>45931</v>
      </c>
      <c r="P740" s="13">
        <f t="shared" si="69"/>
        <v>0.50747150696496413</v>
      </c>
      <c r="Q740" s="5">
        <f t="shared" si="70"/>
        <v>202510</v>
      </c>
      <c r="R740" s="21">
        <f t="shared" si="71"/>
        <v>45931</v>
      </c>
    </row>
    <row r="741" spans="1:18" x14ac:dyDescent="0.25">
      <c r="A741" s="5" t="s">
        <v>1359</v>
      </c>
      <c r="B741" s="14">
        <v>45960</v>
      </c>
      <c r="C741" s="5" t="s">
        <v>1360</v>
      </c>
      <c r="D741" s="10" t="s">
        <v>26</v>
      </c>
      <c r="E741" s="10" t="s">
        <v>246</v>
      </c>
      <c r="F741" s="10" t="s">
        <v>75</v>
      </c>
      <c r="G741" s="15">
        <v>1</v>
      </c>
      <c r="H741" s="11">
        <v>3092.5083999999997</v>
      </c>
      <c r="I741" s="12">
        <v>5</v>
      </c>
      <c r="J741" s="11">
        <v>2938.2615000000001</v>
      </c>
      <c r="K741" s="11">
        <v>983.20569999999998</v>
      </c>
      <c r="L741" s="10" t="s">
        <v>17</v>
      </c>
      <c r="M741" s="5">
        <f t="shared" si="66"/>
        <v>2025</v>
      </c>
      <c r="N741" s="5">
        <f t="shared" si="67"/>
        <v>10</v>
      </c>
      <c r="O741" s="21">
        <f t="shared" si="68"/>
        <v>45931</v>
      </c>
      <c r="P741" s="13">
        <f t="shared" si="69"/>
        <v>0.33462157809983895</v>
      </c>
      <c r="Q741" s="5">
        <f t="shared" si="70"/>
        <v>202510</v>
      </c>
      <c r="R741" s="21">
        <f t="shared" si="71"/>
        <v>45931</v>
      </c>
    </row>
    <row r="742" spans="1:18" x14ac:dyDescent="0.25">
      <c r="A742" s="5" t="s">
        <v>1361</v>
      </c>
      <c r="B742" s="14">
        <v>45345</v>
      </c>
      <c r="C742" s="5" t="s">
        <v>1362</v>
      </c>
      <c r="D742" s="10" t="s">
        <v>37</v>
      </c>
      <c r="E742" s="10" t="s">
        <v>105</v>
      </c>
      <c r="F742" s="10" t="s">
        <v>39</v>
      </c>
      <c r="G742" s="15">
        <v>3</v>
      </c>
      <c r="H742" s="11">
        <v>3135.0918999999999</v>
      </c>
      <c r="I742" s="12">
        <v>0</v>
      </c>
      <c r="J742" s="11">
        <v>9405.2757000000001</v>
      </c>
      <c r="K742" s="11">
        <v>3309.2110999999995</v>
      </c>
      <c r="L742" s="10" t="s">
        <v>17</v>
      </c>
      <c r="M742" s="5">
        <f t="shared" si="66"/>
        <v>2024</v>
      </c>
      <c r="N742" s="5">
        <f t="shared" si="67"/>
        <v>2</v>
      </c>
      <c r="O742" s="21">
        <f t="shared" si="68"/>
        <v>45323</v>
      </c>
      <c r="P742" s="13">
        <f t="shared" si="69"/>
        <v>0.35184626219941639</v>
      </c>
      <c r="Q742" s="5">
        <f t="shared" si="70"/>
        <v>202402</v>
      </c>
      <c r="R742" s="21">
        <f t="shared" si="71"/>
        <v>45323</v>
      </c>
    </row>
    <row r="743" spans="1:18" x14ac:dyDescent="0.25">
      <c r="A743" s="5" t="s">
        <v>1363</v>
      </c>
      <c r="B743" s="14">
        <v>45486</v>
      </c>
      <c r="C743" s="5" t="s">
        <v>1364</v>
      </c>
      <c r="D743" s="10" t="s">
        <v>14</v>
      </c>
      <c r="E743" s="10" t="s">
        <v>133</v>
      </c>
      <c r="F743" s="10" t="s">
        <v>75</v>
      </c>
      <c r="G743" s="15">
        <v>2</v>
      </c>
      <c r="H743" s="11">
        <v>2384.6759999999999</v>
      </c>
      <c r="I743" s="12">
        <v>10</v>
      </c>
      <c r="J743" s="11">
        <v>4292.4168</v>
      </c>
      <c r="K743" s="11">
        <v>825.17359999999996</v>
      </c>
      <c r="L743" s="10" t="s">
        <v>17</v>
      </c>
      <c r="M743" s="5">
        <f t="shared" si="66"/>
        <v>2024</v>
      </c>
      <c r="N743" s="5">
        <f t="shared" si="67"/>
        <v>7</v>
      </c>
      <c r="O743" s="21">
        <f t="shared" si="68"/>
        <v>45474</v>
      </c>
      <c r="P743" s="13">
        <f t="shared" si="69"/>
        <v>0.19223985890652556</v>
      </c>
      <c r="Q743" s="5">
        <f t="shared" si="70"/>
        <v>202407</v>
      </c>
      <c r="R743" s="21">
        <f t="shared" si="71"/>
        <v>45474</v>
      </c>
    </row>
    <row r="744" spans="1:18" x14ac:dyDescent="0.25">
      <c r="A744" s="5" t="s">
        <v>1365</v>
      </c>
      <c r="B744" s="14">
        <v>45487</v>
      </c>
      <c r="C744" s="5" t="s">
        <v>911</v>
      </c>
      <c r="D744" s="10" t="s">
        <v>37</v>
      </c>
      <c r="E744" s="10" t="s">
        <v>91</v>
      </c>
      <c r="F744" s="10" t="s">
        <v>49</v>
      </c>
      <c r="G744" s="15">
        <v>1</v>
      </c>
      <c r="H744" s="11">
        <v>2688.4382999999998</v>
      </c>
      <c r="I744" s="12">
        <v>0</v>
      </c>
      <c r="J744" s="11">
        <v>2688.4382999999998</v>
      </c>
      <c r="K744" s="11">
        <v>846.93849999999986</v>
      </c>
      <c r="L744" s="10" t="s">
        <v>17</v>
      </c>
      <c r="M744" s="5">
        <f t="shared" si="66"/>
        <v>2024</v>
      </c>
      <c r="N744" s="5">
        <f t="shared" si="67"/>
        <v>7</v>
      </c>
      <c r="O744" s="21">
        <f t="shared" si="68"/>
        <v>45474</v>
      </c>
      <c r="P744" s="13">
        <f t="shared" si="69"/>
        <v>0.31502991904259059</v>
      </c>
      <c r="Q744" s="5">
        <f t="shared" si="70"/>
        <v>202407</v>
      </c>
      <c r="R744" s="21">
        <f t="shared" si="71"/>
        <v>45474</v>
      </c>
    </row>
    <row r="745" spans="1:18" x14ac:dyDescent="0.25">
      <c r="A745" s="5" t="s">
        <v>1366</v>
      </c>
      <c r="B745" s="14">
        <v>45971</v>
      </c>
      <c r="C745" s="5" t="s">
        <v>1158</v>
      </c>
      <c r="D745" s="10" t="s">
        <v>37</v>
      </c>
      <c r="E745" s="10" t="s">
        <v>314</v>
      </c>
      <c r="F745" s="10" t="s">
        <v>16</v>
      </c>
      <c r="G745" s="15">
        <v>4</v>
      </c>
      <c r="H745" s="11">
        <v>9264.277</v>
      </c>
      <c r="I745" s="12">
        <v>15</v>
      </c>
      <c r="J745" s="11">
        <v>31498.541799999999</v>
      </c>
      <c r="K745" s="11">
        <v>5882.2007999999996</v>
      </c>
      <c r="L745" s="10" t="s">
        <v>17</v>
      </c>
      <c r="M745" s="5">
        <f t="shared" si="66"/>
        <v>2025</v>
      </c>
      <c r="N745" s="5">
        <f t="shared" si="67"/>
        <v>11</v>
      </c>
      <c r="O745" s="21">
        <f t="shared" si="68"/>
        <v>45962</v>
      </c>
      <c r="P745" s="13">
        <f t="shared" si="69"/>
        <v>0.18674517815297723</v>
      </c>
      <c r="Q745" s="5">
        <f t="shared" si="70"/>
        <v>202511</v>
      </c>
      <c r="R745" s="21">
        <f t="shared" si="71"/>
        <v>45962</v>
      </c>
    </row>
    <row r="746" spans="1:18" x14ac:dyDescent="0.25">
      <c r="A746" s="5" t="s">
        <v>1367</v>
      </c>
      <c r="B746" s="14">
        <v>45322</v>
      </c>
      <c r="C746" s="5" t="s">
        <v>645</v>
      </c>
      <c r="D746" s="10" t="s">
        <v>14</v>
      </c>
      <c r="E746" s="10" t="s">
        <v>286</v>
      </c>
      <c r="F746" s="10" t="s">
        <v>39</v>
      </c>
      <c r="G746" s="15">
        <v>3</v>
      </c>
      <c r="H746" s="11">
        <v>5925.7305999999999</v>
      </c>
      <c r="I746" s="12">
        <v>10</v>
      </c>
      <c r="J746" s="11">
        <v>15999.094099999998</v>
      </c>
      <c r="K746" s="11">
        <v>3605.4029999999998</v>
      </c>
      <c r="L746" s="10" t="s">
        <v>17</v>
      </c>
      <c r="M746" s="5">
        <f t="shared" si="66"/>
        <v>2024</v>
      </c>
      <c r="N746" s="5">
        <f t="shared" si="67"/>
        <v>1</v>
      </c>
      <c r="O746" s="21">
        <f t="shared" si="68"/>
        <v>45292</v>
      </c>
      <c r="P746" s="13">
        <f t="shared" si="69"/>
        <v>0.22535044656059622</v>
      </c>
      <c r="Q746" s="5">
        <f t="shared" si="70"/>
        <v>202401</v>
      </c>
      <c r="R746" s="21">
        <f t="shared" si="71"/>
        <v>45292</v>
      </c>
    </row>
    <row r="747" spans="1:18" x14ac:dyDescent="0.25">
      <c r="A747" s="5" t="s">
        <v>1368</v>
      </c>
      <c r="B747" s="14">
        <v>45350</v>
      </c>
      <c r="C747" s="5" t="s">
        <v>1323</v>
      </c>
      <c r="D747" s="10" t="s">
        <v>37</v>
      </c>
      <c r="E747" s="10" t="s">
        <v>15</v>
      </c>
      <c r="F747" s="10" t="s">
        <v>16</v>
      </c>
      <c r="G747" s="15">
        <v>2</v>
      </c>
      <c r="H747" s="11">
        <v>12150.492</v>
      </c>
      <c r="I747" s="12">
        <v>10</v>
      </c>
      <c r="J747" s="11">
        <v>21870.885599999998</v>
      </c>
      <c r="K747" s="11">
        <v>1909.6333999999999</v>
      </c>
      <c r="L747" s="10" t="s">
        <v>17</v>
      </c>
      <c r="M747" s="5">
        <f t="shared" si="66"/>
        <v>2024</v>
      </c>
      <c r="N747" s="5">
        <f t="shared" si="67"/>
        <v>2</v>
      </c>
      <c r="O747" s="21">
        <f t="shared" si="68"/>
        <v>45323</v>
      </c>
      <c r="P747" s="13">
        <f t="shared" si="69"/>
        <v>8.7313949463482185E-2</v>
      </c>
      <c r="Q747" s="5">
        <f t="shared" si="70"/>
        <v>202402</v>
      </c>
      <c r="R747" s="21">
        <f t="shared" si="71"/>
        <v>45323</v>
      </c>
    </row>
    <row r="748" spans="1:18" x14ac:dyDescent="0.25">
      <c r="A748" s="5" t="s">
        <v>1369</v>
      </c>
      <c r="B748" s="14">
        <v>45401</v>
      </c>
      <c r="C748" s="5" t="s">
        <v>1370</v>
      </c>
      <c r="D748" s="10" t="s">
        <v>42</v>
      </c>
      <c r="E748" s="10" t="s">
        <v>64</v>
      </c>
      <c r="F748" s="10" t="s">
        <v>16</v>
      </c>
      <c r="G748" s="15">
        <v>3</v>
      </c>
      <c r="H748" s="11">
        <v>8596.1892000000007</v>
      </c>
      <c r="I748" s="12">
        <v>0</v>
      </c>
      <c r="J748" s="11">
        <v>25788.567599999998</v>
      </c>
      <c r="K748" s="11">
        <v>5559.5124999999998</v>
      </c>
      <c r="L748" s="10" t="s">
        <v>17</v>
      </c>
      <c r="M748" s="5">
        <f t="shared" si="66"/>
        <v>2024</v>
      </c>
      <c r="N748" s="5">
        <f t="shared" si="67"/>
        <v>4</v>
      </c>
      <c r="O748" s="21">
        <f t="shared" si="68"/>
        <v>45383</v>
      </c>
      <c r="P748" s="13">
        <f t="shared" si="69"/>
        <v>0.21558050785263466</v>
      </c>
      <c r="Q748" s="5">
        <f t="shared" si="70"/>
        <v>202404</v>
      </c>
      <c r="R748" s="21">
        <f t="shared" si="71"/>
        <v>45383</v>
      </c>
    </row>
    <row r="749" spans="1:18" x14ac:dyDescent="0.25">
      <c r="A749" s="5" t="s">
        <v>1371</v>
      </c>
      <c r="B749" s="14">
        <v>45930</v>
      </c>
      <c r="C749" s="5" t="s">
        <v>1372</v>
      </c>
      <c r="D749" s="10" t="s">
        <v>37</v>
      </c>
      <c r="E749" s="10" t="s">
        <v>232</v>
      </c>
      <c r="F749" s="10" t="s">
        <v>22</v>
      </c>
      <c r="G749" s="15">
        <v>3</v>
      </c>
      <c r="H749" s="11">
        <v>947.24629999999991</v>
      </c>
      <c r="I749" s="12">
        <v>0</v>
      </c>
      <c r="J749" s="11">
        <v>2841.7388999999998</v>
      </c>
      <c r="K749" s="11">
        <v>1179.0898</v>
      </c>
      <c r="L749" s="10" t="s">
        <v>17</v>
      </c>
      <c r="M749" s="5">
        <f t="shared" si="66"/>
        <v>2025</v>
      </c>
      <c r="N749" s="5">
        <f t="shared" si="67"/>
        <v>9</v>
      </c>
      <c r="O749" s="21">
        <f t="shared" si="68"/>
        <v>45901</v>
      </c>
      <c r="P749" s="13">
        <f t="shared" si="69"/>
        <v>0.41491841491841491</v>
      </c>
      <c r="Q749" s="5">
        <f t="shared" si="70"/>
        <v>202509</v>
      </c>
      <c r="R749" s="21">
        <f t="shared" si="71"/>
        <v>45901</v>
      </c>
    </row>
    <row r="750" spans="1:18" x14ac:dyDescent="0.25">
      <c r="A750" s="5" t="s">
        <v>1373</v>
      </c>
      <c r="B750" s="14">
        <v>45879</v>
      </c>
      <c r="C750" s="5" t="s">
        <v>861</v>
      </c>
      <c r="D750" s="10" t="s">
        <v>42</v>
      </c>
      <c r="E750" s="10" t="s">
        <v>33</v>
      </c>
      <c r="F750" s="10" t="s">
        <v>16</v>
      </c>
      <c r="G750" s="15">
        <v>1</v>
      </c>
      <c r="H750" s="11">
        <v>8349.2049000000006</v>
      </c>
      <c r="I750" s="12">
        <v>10</v>
      </c>
      <c r="J750" s="11">
        <v>7514.568299999999</v>
      </c>
      <c r="K750" s="11">
        <v>1371.1886999999999</v>
      </c>
      <c r="L750" s="10" t="s">
        <v>23</v>
      </c>
      <c r="M750" s="5">
        <f t="shared" si="66"/>
        <v>2025</v>
      </c>
      <c r="N750" s="5">
        <f t="shared" si="67"/>
        <v>8</v>
      </c>
      <c r="O750" s="21">
        <f t="shared" si="68"/>
        <v>45870</v>
      </c>
      <c r="P750" s="13">
        <f t="shared" si="69"/>
        <v>0.1824707215715905</v>
      </c>
      <c r="Q750" s="5">
        <f t="shared" si="70"/>
        <v>202508</v>
      </c>
      <c r="R750" s="21">
        <f t="shared" si="71"/>
        <v>45870</v>
      </c>
    </row>
    <row r="751" spans="1:18" x14ac:dyDescent="0.25">
      <c r="A751" s="5" t="s">
        <v>1374</v>
      </c>
      <c r="B751" s="14">
        <v>45298</v>
      </c>
      <c r="C751" s="5" t="s">
        <v>1375</v>
      </c>
      <c r="D751" s="10" t="s">
        <v>42</v>
      </c>
      <c r="E751" s="10" t="s">
        <v>111</v>
      </c>
      <c r="F751" s="10" t="s">
        <v>49</v>
      </c>
      <c r="G751" s="15">
        <v>3</v>
      </c>
      <c r="H751" s="11">
        <v>3859.9576999999999</v>
      </c>
      <c r="I751" s="12">
        <v>0</v>
      </c>
      <c r="J751" s="11">
        <v>11579.873100000001</v>
      </c>
      <c r="K751" s="11">
        <v>3704.7644999999998</v>
      </c>
      <c r="L751" s="10" t="s">
        <v>17</v>
      </c>
      <c r="M751" s="5">
        <f t="shared" si="66"/>
        <v>2024</v>
      </c>
      <c r="N751" s="5">
        <f t="shared" si="67"/>
        <v>1</v>
      </c>
      <c r="O751" s="21">
        <f t="shared" si="68"/>
        <v>45292</v>
      </c>
      <c r="P751" s="13">
        <f t="shared" si="69"/>
        <v>0.3199313557244422</v>
      </c>
      <c r="Q751" s="5">
        <f t="shared" si="70"/>
        <v>202401</v>
      </c>
      <c r="R751" s="21">
        <f t="shared" si="71"/>
        <v>45292</v>
      </c>
    </row>
    <row r="752" spans="1:18" x14ac:dyDescent="0.25">
      <c r="A752" s="5" t="s">
        <v>1376</v>
      </c>
      <c r="B752" s="14">
        <v>45747</v>
      </c>
      <c r="C752" s="5" t="s">
        <v>1377</v>
      </c>
      <c r="D752" s="10" t="s">
        <v>20</v>
      </c>
      <c r="E752" s="10" t="s">
        <v>136</v>
      </c>
      <c r="F752" s="10" t="s">
        <v>75</v>
      </c>
      <c r="G752" s="15">
        <v>2</v>
      </c>
      <c r="H752" s="11">
        <v>2804.8332</v>
      </c>
      <c r="I752" s="12">
        <v>10</v>
      </c>
      <c r="J752" s="11">
        <v>5048.5105000000003</v>
      </c>
      <c r="K752" s="11">
        <v>1156.3786</v>
      </c>
      <c r="L752" s="10" t="s">
        <v>17</v>
      </c>
      <c r="M752" s="5">
        <f t="shared" si="66"/>
        <v>2025</v>
      </c>
      <c r="N752" s="5">
        <f t="shared" si="67"/>
        <v>3</v>
      </c>
      <c r="O752" s="21">
        <f t="shared" si="68"/>
        <v>45717</v>
      </c>
      <c r="P752" s="13">
        <f t="shared" si="69"/>
        <v>0.22905342080599811</v>
      </c>
      <c r="Q752" s="5">
        <f t="shared" si="70"/>
        <v>202503</v>
      </c>
      <c r="R752" s="21">
        <f t="shared" si="71"/>
        <v>45717</v>
      </c>
    </row>
    <row r="753" spans="1:18" x14ac:dyDescent="0.25">
      <c r="A753" s="5" t="s">
        <v>1378</v>
      </c>
      <c r="B753" s="14">
        <v>45954</v>
      </c>
      <c r="C753" s="5" t="s">
        <v>1379</v>
      </c>
      <c r="D753" s="10" t="s">
        <v>37</v>
      </c>
      <c r="E753" s="10" t="s">
        <v>21</v>
      </c>
      <c r="F753" s="10" t="s">
        <v>22</v>
      </c>
      <c r="G753" s="15">
        <v>2</v>
      </c>
      <c r="H753" s="11">
        <v>2622.1972999999998</v>
      </c>
      <c r="I753" s="12">
        <v>0</v>
      </c>
      <c r="J753" s="11">
        <v>5244.3945999999996</v>
      </c>
      <c r="K753" s="11">
        <v>2751.8403999999996</v>
      </c>
      <c r="L753" s="10" t="s">
        <v>23</v>
      </c>
      <c r="M753" s="5">
        <f t="shared" si="66"/>
        <v>2025</v>
      </c>
      <c r="N753" s="5">
        <f t="shared" si="67"/>
        <v>10</v>
      </c>
      <c r="O753" s="21">
        <f t="shared" si="68"/>
        <v>45931</v>
      </c>
      <c r="P753" s="13">
        <f t="shared" si="69"/>
        <v>0.52472031757488269</v>
      </c>
      <c r="Q753" s="5">
        <f t="shared" si="70"/>
        <v>202510</v>
      </c>
      <c r="R753" s="21">
        <f t="shared" si="71"/>
        <v>45931</v>
      </c>
    </row>
    <row r="754" spans="1:18" x14ac:dyDescent="0.25">
      <c r="A754" s="5" t="s">
        <v>1380</v>
      </c>
      <c r="B754" s="14">
        <v>45668</v>
      </c>
      <c r="C754" s="5" t="s">
        <v>754</v>
      </c>
      <c r="D754" s="10" t="s">
        <v>26</v>
      </c>
      <c r="E754" s="10" t="s">
        <v>184</v>
      </c>
      <c r="F754" s="10" t="s">
        <v>49</v>
      </c>
      <c r="G754" s="15">
        <v>2</v>
      </c>
      <c r="H754" s="11">
        <v>5461.0972999999994</v>
      </c>
      <c r="I754" s="12">
        <v>15</v>
      </c>
      <c r="J754" s="11">
        <v>9284.1492999999991</v>
      </c>
      <c r="K754" s="11">
        <v>3119.0047999999997</v>
      </c>
      <c r="L754" s="10" t="s">
        <v>17</v>
      </c>
      <c r="M754" s="5">
        <f t="shared" si="66"/>
        <v>2025</v>
      </c>
      <c r="N754" s="5">
        <f t="shared" si="67"/>
        <v>1</v>
      </c>
      <c r="O754" s="21">
        <f t="shared" si="68"/>
        <v>45658</v>
      </c>
      <c r="P754" s="13">
        <f t="shared" si="69"/>
        <v>0.33594944450107023</v>
      </c>
      <c r="Q754" s="5">
        <f t="shared" si="70"/>
        <v>202501</v>
      </c>
      <c r="R754" s="21">
        <f t="shared" si="71"/>
        <v>45658</v>
      </c>
    </row>
    <row r="755" spans="1:18" x14ac:dyDescent="0.25">
      <c r="A755" s="5" t="s">
        <v>1381</v>
      </c>
      <c r="B755" s="14">
        <v>45632</v>
      </c>
      <c r="C755" s="5" t="s">
        <v>226</v>
      </c>
      <c r="D755" s="10" t="s">
        <v>20</v>
      </c>
      <c r="E755" s="10" t="s">
        <v>154</v>
      </c>
      <c r="F755" s="10" t="s">
        <v>39</v>
      </c>
      <c r="G755" s="15">
        <v>1</v>
      </c>
      <c r="H755" s="11">
        <v>3636.6308999999997</v>
      </c>
      <c r="I755" s="12">
        <v>0</v>
      </c>
      <c r="J755" s="11">
        <v>3636.6308999999997</v>
      </c>
      <c r="K755" s="11">
        <v>1014.4336</v>
      </c>
      <c r="L755" s="10" t="s">
        <v>17</v>
      </c>
      <c r="M755" s="5">
        <f t="shared" si="66"/>
        <v>2024</v>
      </c>
      <c r="N755" s="5">
        <f t="shared" si="67"/>
        <v>12</v>
      </c>
      <c r="O755" s="21">
        <f t="shared" si="68"/>
        <v>45627</v>
      </c>
      <c r="P755" s="13">
        <f t="shared" si="69"/>
        <v>0.27894873796513142</v>
      </c>
      <c r="Q755" s="5">
        <f t="shared" si="70"/>
        <v>202412</v>
      </c>
      <c r="R755" s="21">
        <f t="shared" si="71"/>
        <v>45627</v>
      </c>
    </row>
    <row r="756" spans="1:18" x14ac:dyDescent="0.25">
      <c r="A756" s="5" t="s">
        <v>1382</v>
      </c>
      <c r="B756" s="14">
        <v>45338</v>
      </c>
      <c r="C756" s="5" t="s">
        <v>833</v>
      </c>
      <c r="D756" s="10" t="s">
        <v>20</v>
      </c>
      <c r="E756" s="10" t="s">
        <v>69</v>
      </c>
      <c r="F756" s="10" t="s">
        <v>39</v>
      </c>
      <c r="G756" s="15">
        <v>3</v>
      </c>
      <c r="H756" s="11">
        <v>4116.4049999999997</v>
      </c>
      <c r="I756" s="12">
        <v>5</v>
      </c>
      <c r="J756" s="11">
        <v>11732.2274</v>
      </c>
      <c r="K756" s="11">
        <v>3912.0042000000003</v>
      </c>
      <c r="L756" s="10" t="s">
        <v>17</v>
      </c>
      <c r="M756" s="5">
        <f t="shared" si="66"/>
        <v>2024</v>
      </c>
      <c r="N756" s="5">
        <f t="shared" si="67"/>
        <v>2</v>
      </c>
      <c r="O756" s="21">
        <f t="shared" si="68"/>
        <v>45323</v>
      </c>
      <c r="P756" s="13">
        <f t="shared" si="69"/>
        <v>0.33344087756089696</v>
      </c>
      <c r="Q756" s="5">
        <f t="shared" si="70"/>
        <v>202402</v>
      </c>
      <c r="R756" s="21">
        <f t="shared" si="71"/>
        <v>45323</v>
      </c>
    </row>
    <row r="757" spans="1:18" x14ac:dyDescent="0.25">
      <c r="A757" s="5" t="s">
        <v>1383</v>
      </c>
      <c r="B757" s="14">
        <v>45679</v>
      </c>
      <c r="C757" s="5" t="s">
        <v>626</v>
      </c>
      <c r="D757" s="10" t="s">
        <v>20</v>
      </c>
      <c r="E757" s="10" t="s">
        <v>291</v>
      </c>
      <c r="F757" s="10" t="s">
        <v>22</v>
      </c>
      <c r="G757" s="15">
        <v>3</v>
      </c>
      <c r="H757" s="11">
        <v>3690.5699999999997</v>
      </c>
      <c r="I757" s="12">
        <v>10</v>
      </c>
      <c r="J757" s="11">
        <v>9964.5389999999989</v>
      </c>
      <c r="K757" s="11">
        <v>4088.0160000000001</v>
      </c>
      <c r="L757" s="10" t="s">
        <v>23</v>
      </c>
      <c r="M757" s="5">
        <f t="shared" si="66"/>
        <v>2025</v>
      </c>
      <c r="N757" s="5">
        <f t="shared" si="67"/>
        <v>1</v>
      </c>
      <c r="O757" s="21">
        <f t="shared" si="68"/>
        <v>45658</v>
      </c>
      <c r="P757" s="13">
        <f t="shared" si="69"/>
        <v>0.4102564102564103</v>
      </c>
      <c r="Q757" s="5">
        <f t="shared" si="70"/>
        <v>202501</v>
      </c>
      <c r="R757" s="21">
        <f t="shared" si="71"/>
        <v>45658</v>
      </c>
    </row>
    <row r="758" spans="1:18" x14ac:dyDescent="0.25">
      <c r="A758" s="5" t="s">
        <v>1384</v>
      </c>
      <c r="B758" s="14">
        <v>45954</v>
      </c>
      <c r="C758" s="5" t="s">
        <v>1243</v>
      </c>
      <c r="D758" s="10" t="s">
        <v>37</v>
      </c>
      <c r="E758" s="10" t="s">
        <v>246</v>
      </c>
      <c r="F758" s="10" t="s">
        <v>75</v>
      </c>
      <c r="G758" s="15">
        <v>4</v>
      </c>
      <c r="H758" s="11">
        <v>5327.6689999999999</v>
      </c>
      <c r="I758" s="12">
        <v>10</v>
      </c>
      <c r="J758" s="11">
        <v>19179.608400000001</v>
      </c>
      <c r="K758" s="11">
        <v>6685.6095000000005</v>
      </c>
      <c r="L758" s="10" t="s">
        <v>34</v>
      </c>
      <c r="M758" s="5">
        <f t="shared" si="66"/>
        <v>2025</v>
      </c>
      <c r="N758" s="5">
        <f t="shared" si="67"/>
        <v>10</v>
      </c>
      <c r="O758" s="21">
        <f t="shared" si="68"/>
        <v>45931</v>
      </c>
      <c r="P758" s="13">
        <f t="shared" si="69"/>
        <v>0.34857904085257552</v>
      </c>
      <c r="Q758" s="5">
        <f t="shared" si="70"/>
        <v>202510</v>
      </c>
      <c r="R758" s="21">
        <f t="shared" si="71"/>
        <v>45931</v>
      </c>
    </row>
    <row r="759" spans="1:18" x14ac:dyDescent="0.25">
      <c r="A759" s="5" t="s">
        <v>1385</v>
      </c>
      <c r="B759" s="14">
        <v>45427</v>
      </c>
      <c r="C759" s="5" t="s">
        <v>1386</v>
      </c>
      <c r="D759" s="10" t="s">
        <v>20</v>
      </c>
      <c r="E759" s="10" t="s">
        <v>83</v>
      </c>
      <c r="F759" s="10" t="s">
        <v>22</v>
      </c>
      <c r="G759" s="15">
        <v>2</v>
      </c>
      <c r="H759" s="11">
        <v>4583.8771999999999</v>
      </c>
      <c r="I759" s="12">
        <v>0</v>
      </c>
      <c r="J759" s="11">
        <v>9167.7543999999998</v>
      </c>
      <c r="K759" s="11">
        <v>5270.8909999999996</v>
      </c>
      <c r="L759" s="10" t="s">
        <v>17</v>
      </c>
      <c r="M759" s="5">
        <f t="shared" si="66"/>
        <v>2024</v>
      </c>
      <c r="N759" s="5">
        <f t="shared" si="67"/>
        <v>5</v>
      </c>
      <c r="O759" s="21">
        <f t="shared" si="68"/>
        <v>45413</v>
      </c>
      <c r="P759" s="13">
        <f t="shared" si="69"/>
        <v>0.57493806771263412</v>
      </c>
      <c r="Q759" s="5">
        <f t="shared" si="70"/>
        <v>202405</v>
      </c>
      <c r="R759" s="21">
        <f t="shared" si="71"/>
        <v>45413</v>
      </c>
    </row>
    <row r="760" spans="1:18" x14ac:dyDescent="0.25">
      <c r="A760" s="5" t="s">
        <v>1387</v>
      </c>
      <c r="B760" s="14">
        <v>45916</v>
      </c>
      <c r="C760" s="5" t="s">
        <v>1388</v>
      </c>
      <c r="D760" s="10" t="s">
        <v>26</v>
      </c>
      <c r="E760" s="10" t="s">
        <v>246</v>
      </c>
      <c r="F760" s="10" t="s">
        <v>75</v>
      </c>
      <c r="G760" s="15">
        <v>4</v>
      </c>
      <c r="H760" s="11">
        <v>3315.8352</v>
      </c>
      <c r="I760" s="12">
        <v>0</v>
      </c>
      <c r="J760" s="11">
        <v>13263.3408</v>
      </c>
      <c r="K760" s="11">
        <v>3010.1802999999995</v>
      </c>
      <c r="L760" s="10" t="s">
        <v>17</v>
      </c>
      <c r="M760" s="5">
        <f t="shared" si="66"/>
        <v>2025</v>
      </c>
      <c r="N760" s="5">
        <f t="shared" si="67"/>
        <v>9</v>
      </c>
      <c r="O760" s="21">
        <f t="shared" si="68"/>
        <v>45901</v>
      </c>
      <c r="P760" s="13">
        <f t="shared" si="69"/>
        <v>0.22695490867579907</v>
      </c>
      <c r="Q760" s="5">
        <f t="shared" si="70"/>
        <v>202509</v>
      </c>
      <c r="R760" s="21">
        <f t="shared" si="71"/>
        <v>45901</v>
      </c>
    </row>
    <row r="761" spans="1:18" x14ac:dyDescent="0.25">
      <c r="A761" s="5" t="s">
        <v>1389</v>
      </c>
      <c r="B761" s="14">
        <v>45297</v>
      </c>
      <c r="C761" s="5" t="s">
        <v>828</v>
      </c>
      <c r="D761" s="10" t="s">
        <v>26</v>
      </c>
      <c r="E761" s="10" t="s">
        <v>502</v>
      </c>
      <c r="F761" s="10" t="s">
        <v>22</v>
      </c>
      <c r="G761" s="15">
        <v>2</v>
      </c>
      <c r="H761" s="11">
        <v>4197.7867999999999</v>
      </c>
      <c r="I761" s="12">
        <v>0</v>
      </c>
      <c r="J761" s="11">
        <v>8395.5735999999997</v>
      </c>
      <c r="K761" s="11">
        <v>3651.7717000000002</v>
      </c>
      <c r="L761" s="10" t="s">
        <v>23</v>
      </c>
      <c r="M761" s="5">
        <f t="shared" si="66"/>
        <v>2024</v>
      </c>
      <c r="N761" s="5">
        <f t="shared" si="67"/>
        <v>1</v>
      </c>
      <c r="O761" s="21">
        <f t="shared" si="68"/>
        <v>45292</v>
      </c>
      <c r="P761" s="13">
        <f t="shared" si="69"/>
        <v>0.43496393146979268</v>
      </c>
      <c r="Q761" s="5">
        <f t="shared" si="70"/>
        <v>202401</v>
      </c>
      <c r="R761" s="21">
        <f t="shared" si="71"/>
        <v>45292</v>
      </c>
    </row>
    <row r="762" spans="1:18" x14ac:dyDescent="0.25">
      <c r="A762" s="5" t="s">
        <v>1390</v>
      </c>
      <c r="B762" s="14">
        <v>45632</v>
      </c>
      <c r="C762" s="5" t="s">
        <v>1391</v>
      </c>
      <c r="D762" s="10" t="s">
        <v>37</v>
      </c>
      <c r="E762" s="10" t="s">
        <v>105</v>
      </c>
      <c r="F762" s="10" t="s">
        <v>39</v>
      </c>
      <c r="G762" s="15">
        <v>2</v>
      </c>
      <c r="H762" s="11">
        <v>3618.6511999999998</v>
      </c>
      <c r="I762" s="12">
        <v>5</v>
      </c>
      <c r="J762" s="11">
        <v>6875.8157999999994</v>
      </c>
      <c r="K762" s="11">
        <v>2723.4513999999999</v>
      </c>
      <c r="L762" s="10" t="s">
        <v>17</v>
      </c>
      <c r="M762" s="5">
        <f t="shared" si="66"/>
        <v>2024</v>
      </c>
      <c r="N762" s="5">
        <f t="shared" si="67"/>
        <v>12</v>
      </c>
      <c r="O762" s="21">
        <f t="shared" si="68"/>
        <v>45627</v>
      </c>
      <c r="P762" s="13">
        <f t="shared" si="69"/>
        <v>0.39609138453069093</v>
      </c>
      <c r="Q762" s="5">
        <f t="shared" si="70"/>
        <v>202412</v>
      </c>
      <c r="R762" s="21">
        <f t="shared" si="71"/>
        <v>45627</v>
      </c>
    </row>
    <row r="763" spans="1:18" x14ac:dyDescent="0.25">
      <c r="A763" s="5" t="s">
        <v>1392</v>
      </c>
      <c r="B763" s="14">
        <v>45630</v>
      </c>
      <c r="C763" s="5" t="s">
        <v>956</v>
      </c>
      <c r="D763" s="10" t="s">
        <v>26</v>
      </c>
      <c r="E763" s="10" t="s">
        <v>214</v>
      </c>
      <c r="F763" s="10" t="s">
        <v>49</v>
      </c>
      <c r="G763" s="15">
        <v>2</v>
      </c>
      <c r="H763" s="11">
        <v>7627.177999999999</v>
      </c>
      <c r="I763" s="12">
        <v>25</v>
      </c>
      <c r="J763" s="11">
        <v>11440.767</v>
      </c>
      <c r="K763" s="11">
        <v>6054.4273999999996</v>
      </c>
      <c r="L763" s="10" t="s">
        <v>23</v>
      </c>
      <c r="M763" s="5">
        <f t="shared" si="66"/>
        <v>2024</v>
      </c>
      <c r="N763" s="5">
        <f t="shared" si="67"/>
        <v>12</v>
      </c>
      <c r="O763" s="21">
        <f t="shared" si="68"/>
        <v>45627</v>
      </c>
      <c r="P763" s="13">
        <f t="shared" si="69"/>
        <v>0.52919768403639367</v>
      </c>
      <c r="Q763" s="5">
        <f t="shared" si="70"/>
        <v>202412</v>
      </c>
      <c r="R763" s="21">
        <f t="shared" si="71"/>
        <v>45627</v>
      </c>
    </row>
    <row r="764" spans="1:18" x14ac:dyDescent="0.25">
      <c r="A764" s="5" t="s">
        <v>1393</v>
      </c>
      <c r="B764" s="14">
        <v>45538</v>
      </c>
      <c r="C764" s="5" t="s">
        <v>1307</v>
      </c>
      <c r="D764" s="10" t="s">
        <v>37</v>
      </c>
      <c r="E764" s="10" t="s">
        <v>69</v>
      </c>
      <c r="F764" s="10" t="s">
        <v>39</v>
      </c>
      <c r="G764" s="15">
        <v>2</v>
      </c>
      <c r="H764" s="11">
        <v>5357.9505999999992</v>
      </c>
      <c r="I764" s="12">
        <v>10</v>
      </c>
      <c r="J764" s="11">
        <v>9644.6895999999997</v>
      </c>
      <c r="K764" s="11">
        <v>1971.1428999999998</v>
      </c>
      <c r="L764" s="10" t="s">
        <v>23</v>
      </c>
      <c r="M764" s="5">
        <f t="shared" si="66"/>
        <v>2024</v>
      </c>
      <c r="N764" s="5">
        <f t="shared" si="67"/>
        <v>9</v>
      </c>
      <c r="O764" s="21">
        <f t="shared" si="68"/>
        <v>45536</v>
      </c>
      <c r="P764" s="13">
        <f t="shared" si="69"/>
        <v>0.20437598116169545</v>
      </c>
      <c r="Q764" s="5">
        <f t="shared" si="70"/>
        <v>202409</v>
      </c>
      <c r="R764" s="21">
        <f t="shared" si="71"/>
        <v>45536</v>
      </c>
    </row>
    <row r="765" spans="1:18" x14ac:dyDescent="0.25">
      <c r="A765" s="5" t="s">
        <v>1394</v>
      </c>
      <c r="B765" s="14">
        <v>45855</v>
      </c>
      <c r="C765" s="5" t="s">
        <v>1395</v>
      </c>
      <c r="D765" s="10" t="s">
        <v>20</v>
      </c>
      <c r="E765" s="10" t="s">
        <v>108</v>
      </c>
      <c r="F765" s="10" t="s">
        <v>75</v>
      </c>
      <c r="G765" s="15">
        <v>2</v>
      </c>
      <c r="H765" s="11">
        <v>5561.4050999999999</v>
      </c>
      <c r="I765" s="12">
        <v>0</v>
      </c>
      <c r="J765" s="11">
        <v>11122.8102</v>
      </c>
      <c r="K765" s="11">
        <v>3611.0807999999997</v>
      </c>
      <c r="L765" s="10" t="s">
        <v>23</v>
      </c>
      <c r="M765" s="5">
        <f t="shared" si="66"/>
        <v>2025</v>
      </c>
      <c r="N765" s="5">
        <f t="shared" si="67"/>
        <v>7</v>
      </c>
      <c r="O765" s="21">
        <f t="shared" si="68"/>
        <v>45839</v>
      </c>
      <c r="P765" s="13">
        <f t="shared" si="69"/>
        <v>0.32465543644716688</v>
      </c>
      <c r="Q765" s="5">
        <f t="shared" si="70"/>
        <v>202507</v>
      </c>
      <c r="R765" s="21">
        <f t="shared" si="71"/>
        <v>45839</v>
      </c>
    </row>
    <row r="766" spans="1:18" x14ac:dyDescent="0.25">
      <c r="A766" s="5" t="s">
        <v>1396</v>
      </c>
      <c r="B766" s="14">
        <v>45628</v>
      </c>
      <c r="C766" s="5" t="s">
        <v>1397</v>
      </c>
      <c r="D766" s="10" t="s">
        <v>20</v>
      </c>
      <c r="E766" s="10" t="s">
        <v>48</v>
      </c>
      <c r="F766" s="10" t="s">
        <v>49</v>
      </c>
      <c r="G766" s="15">
        <v>1</v>
      </c>
      <c r="H766" s="11">
        <v>3972.5673999999995</v>
      </c>
      <c r="I766" s="12">
        <v>25</v>
      </c>
      <c r="J766" s="11">
        <v>2979.8986999999997</v>
      </c>
      <c r="K766" s="11">
        <v>1139.3452</v>
      </c>
      <c r="L766" s="10" t="s">
        <v>23</v>
      </c>
      <c r="M766" s="5">
        <f t="shared" si="66"/>
        <v>2024</v>
      </c>
      <c r="N766" s="5">
        <f t="shared" si="67"/>
        <v>12</v>
      </c>
      <c r="O766" s="21">
        <f t="shared" si="68"/>
        <v>45627</v>
      </c>
      <c r="P766" s="13">
        <f t="shared" si="69"/>
        <v>0.38234360114322008</v>
      </c>
      <c r="Q766" s="5">
        <f t="shared" si="70"/>
        <v>202412</v>
      </c>
      <c r="R766" s="21">
        <f t="shared" si="71"/>
        <v>45627</v>
      </c>
    </row>
    <row r="767" spans="1:18" x14ac:dyDescent="0.25">
      <c r="A767" s="5" t="s">
        <v>1398</v>
      </c>
      <c r="B767" s="14">
        <v>45897</v>
      </c>
      <c r="C767" s="5" t="s">
        <v>1399</v>
      </c>
      <c r="D767" s="10" t="s">
        <v>20</v>
      </c>
      <c r="E767" s="10" t="s">
        <v>187</v>
      </c>
      <c r="F767" s="10" t="s">
        <v>75</v>
      </c>
      <c r="G767" s="15">
        <v>2</v>
      </c>
      <c r="H767" s="11">
        <v>1656.0249999999999</v>
      </c>
      <c r="I767" s="12">
        <v>15</v>
      </c>
      <c r="J767" s="11">
        <v>2815.2424999999998</v>
      </c>
      <c r="K767" s="11">
        <v>683.22859999999991</v>
      </c>
      <c r="L767" s="10" t="s">
        <v>17</v>
      </c>
      <c r="M767" s="5">
        <f t="shared" si="66"/>
        <v>2025</v>
      </c>
      <c r="N767" s="5">
        <f t="shared" si="67"/>
        <v>8</v>
      </c>
      <c r="O767" s="21">
        <f t="shared" si="68"/>
        <v>45870</v>
      </c>
      <c r="P767" s="13">
        <f t="shared" si="69"/>
        <v>0.24268907563025208</v>
      </c>
      <c r="Q767" s="5">
        <f t="shared" si="70"/>
        <v>202508</v>
      </c>
      <c r="R767" s="21">
        <f t="shared" si="71"/>
        <v>45870</v>
      </c>
    </row>
    <row r="768" spans="1:18" x14ac:dyDescent="0.25">
      <c r="A768" s="5" t="s">
        <v>1400</v>
      </c>
      <c r="B768" s="14">
        <v>45777</v>
      </c>
      <c r="C768" s="5" t="s">
        <v>1180</v>
      </c>
      <c r="D768" s="10" t="s">
        <v>20</v>
      </c>
      <c r="E768" s="10" t="s">
        <v>227</v>
      </c>
      <c r="F768" s="10" t="s">
        <v>39</v>
      </c>
      <c r="G768" s="15">
        <v>3</v>
      </c>
      <c r="H768" s="11">
        <v>6825.6618999999992</v>
      </c>
      <c r="I768" s="12">
        <v>0</v>
      </c>
      <c r="J768" s="11">
        <v>20476.985699999997</v>
      </c>
      <c r="K768" s="11">
        <v>7330.9860999999992</v>
      </c>
      <c r="L768" s="10" t="s">
        <v>17</v>
      </c>
      <c r="M768" s="5">
        <f t="shared" si="66"/>
        <v>2025</v>
      </c>
      <c r="N768" s="5">
        <f t="shared" si="67"/>
        <v>4</v>
      </c>
      <c r="O768" s="21">
        <f t="shared" si="68"/>
        <v>45748</v>
      </c>
      <c r="P768" s="13">
        <f t="shared" si="69"/>
        <v>0.35801099865982716</v>
      </c>
      <c r="Q768" s="5">
        <f t="shared" si="70"/>
        <v>202504</v>
      </c>
      <c r="R768" s="21">
        <f t="shared" si="71"/>
        <v>45748</v>
      </c>
    </row>
    <row r="769" spans="1:18" x14ac:dyDescent="0.25">
      <c r="A769" s="5" t="s">
        <v>1401</v>
      </c>
      <c r="B769" s="14">
        <v>45899</v>
      </c>
      <c r="C769" s="5" t="s">
        <v>1402</v>
      </c>
      <c r="D769" s="10" t="s">
        <v>20</v>
      </c>
      <c r="E769" s="10" t="s">
        <v>148</v>
      </c>
      <c r="F769" s="10" t="s">
        <v>16</v>
      </c>
      <c r="G769" s="15">
        <v>1</v>
      </c>
      <c r="H769" s="11">
        <v>11937.574500000001</v>
      </c>
      <c r="I769" s="12">
        <v>10</v>
      </c>
      <c r="J769" s="11">
        <v>10744.290199999999</v>
      </c>
      <c r="K769" s="11">
        <v>1994.8003999999999</v>
      </c>
      <c r="L769" s="10" t="s">
        <v>17</v>
      </c>
      <c r="M769" s="5">
        <f t="shared" si="66"/>
        <v>2025</v>
      </c>
      <c r="N769" s="5">
        <f t="shared" si="67"/>
        <v>8</v>
      </c>
      <c r="O769" s="21">
        <f t="shared" si="68"/>
        <v>45870</v>
      </c>
      <c r="P769" s="13">
        <f t="shared" si="69"/>
        <v>0.1856614409018848</v>
      </c>
      <c r="Q769" s="5">
        <f t="shared" si="70"/>
        <v>202508</v>
      </c>
      <c r="R769" s="21">
        <f t="shared" si="71"/>
        <v>45870</v>
      </c>
    </row>
    <row r="770" spans="1:18" x14ac:dyDescent="0.25">
      <c r="A770" s="5" t="s">
        <v>1403</v>
      </c>
      <c r="B770" s="14">
        <v>45919</v>
      </c>
      <c r="C770" s="5" t="s">
        <v>1404</v>
      </c>
      <c r="D770" s="10" t="s">
        <v>14</v>
      </c>
      <c r="E770" s="10" t="s">
        <v>211</v>
      </c>
      <c r="F770" s="10" t="s">
        <v>39</v>
      </c>
      <c r="G770" s="15">
        <v>2</v>
      </c>
      <c r="H770" s="11">
        <v>3884.5614999999993</v>
      </c>
      <c r="I770" s="12">
        <v>0</v>
      </c>
      <c r="J770" s="11">
        <v>7769.1229999999987</v>
      </c>
      <c r="K770" s="11">
        <v>2929.7447999999999</v>
      </c>
      <c r="L770" s="10" t="s">
        <v>17</v>
      </c>
      <c r="M770" s="5">
        <f t="shared" ref="M770:M833" si="72">YEAR(B770)</f>
        <v>2025</v>
      </c>
      <c r="N770" s="5">
        <f t="shared" ref="N770:N833" si="73">MONTH(B770)</f>
        <v>9</v>
      </c>
      <c r="O770" s="21">
        <f t="shared" ref="O770:O833" si="74">DATE(YEAR(B770),MONTH(B770),1)</f>
        <v>45901</v>
      </c>
      <c r="P770" s="13">
        <f t="shared" ref="P770:P833" si="75">(K770/J770)</f>
        <v>0.37710109622411697</v>
      </c>
      <c r="Q770" s="5">
        <f t="shared" ref="Q770:Q833" si="76">YEAR(B770)*100+MONTH(B770)</f>
        <v>202509</v>
      </c>
      <c r="R770" s="21">
        <f t="shared" ref="R770:R833" si="77">DATE(YEAR(B770),MONTH(B770),1)</f>
        <v>45901</v>
      </c>
    </row>
    <row r="771" spans="1:18" x14ac:dyDescent="0.25">
      <c r="A771" s="5" t="s">
        <v>1405</v>
      </c>
      <c r="B771" s="14">
        <v>45687</v>
      </c>
      <c r="C771" s="5" t="s">
        <v>1406</v>
      </c>
      <c r="D771" s="10" t="s">
        <v>42</v>
      </c>
      <c r="E771" s="10" t="s">
        <v>118</v>
      </c>
      <c r="F771" s="10" t="s">
        <v>49</v>
      </c>
      <c r="G771" s="15">
        <v>1</v>
      </c>
      <c r="H771" s="11">
        <v>7647.9965999999986</v>
      </c>
      <c r="I771" s="12">
        <v>5</v>
      </c>
      <c r="J771" s="11">
        <v>7265.6913999999997</v>
      </c>
      <c r="K771" s="11">
        <v>2730.0754999999999</v>
      </c>
      <c r="L771" s="10" t="s">
        <v>23</v>
      </c>
      <c r="M771" s="5">
        <f t="shared" si="72"/>
        <v>2025</v>
      </c>
      <c r="N771" s="5">
        <f t="shared" si="73"/>
        <v>1</v>
      </c>
      <c r="O771" s="21">
        <f t="shared" si="74"/>
        <v>45658</v>
      </c>
      <c r="P771" s="13">
        <f t="shared" si="75"/>
        <v>0.37574889294087005</v>
      </c>
      <c r="Q771" s="5">
        <f t="shared" si="76"/>
        <v>202501</v>
      </c>
      <c r="R771" s="21">
        <f t="shared" si="77"/>
        <v>45658</v>
      </c>
    </row>
    <row r="772" spans="1:18" x14ac:dyDescent="0.25">
      <c r="A772" s="5" t="s">
        <v>1407</v>
      </c>
      <c r="B772" s="14">
        <v>45366</v>
      </c>
      <c r="C772" s="5" t="s">
        <v>1408</v>
      </c>
      <c r="D772" s="10" t="s">
        <v>42</v>
      </c>
      <c r="E772" s="10" t="s">
        <v>286</v>
      </c>
      <c r="F772" s="10" t="s">
        <v>39</v>
      </c>
      <c r="G772" s="15">
        <v>2</v>
      </c>
      <c r="H772" s="11">
        <v>7120.9074999999993</v>
      </c>
      <c r="I772" s="12">
        <v>20</v>
      </c>
      <c r="J772" s="11">
        <v>11393.451999999999</v>
      </c>
      <c r="K772" s="11">
        <v>3800.3407999999995</v>
      </c>
      <c r="L772" s="10" t="s">
        <v>17</v>
      </c>
      <c r="M772" s="5">
        <f t="shared" si="72"/>
        <v>2024</v>
      </c>
      <c r="N772" s="5">
        <f t="shared" si="73"/>
        <v>3</v>
      </c>
      <c r="O772" s="21">
        <f t="shared" si="74"/>
        <v>45352</v>
      </c>
      <c r="P772" s="13">
        <f t="shared" si="75"/>
        <v>0.33355481727574748</v>
      </c>
      <c r="Q772" s="5">
        <f t="shared" si="76"/>
        <v>202403</v>
      </c>
      <c r="R772" s="21">
        <f t="shared" si="77"/>
        <v>45352</v>
      </c>
    </row>
    <row r="773" spans="1:18" x14ac:dyDescent="0.25">
      <c r="A773" s="5" t="s">
        <v>1409</v>
      </c>
      <c r="B773" s="14">
        <v>46005</v>
      </c>
      <c r="C773" s="5" t="s">
        <v>1320</v>
      </c>
      <c r="D773" s="10" t="s">
        <v>42</v>
      </c>
      <c r="E773" s="10" t="s">
        <v>148</v>
      </c>
      <c r="F773" s="10" t="s">
        <v>16</v>
      </c>
      <c r="G773" s="15">
        <v>4</v>
      </c>
      <c r="H773" s="11">
        <v>9282.2566999999999</v>
      </c>
      <c r="I773" s="12">
        <v>5</v>
      </c>
      <c r="J773" s="11">
        <v>35272.386200000001</v>
      </c>
      <c r="K773" s="11">
        <v>5717.5446000000002</v>
      </c>
      <c r="L773" s="10" t="s">
        <v>23</v>
      </c>
      <c r="M773" s="5">
        <f t="shared" si="72"/>
        <v>2025</v>
      </c>
      <c r="N773" s="5">
        <f t="shared" si="73"/>
        <v>12</v>
      </c>
      <c r="O773" s="21">
        <f t="shared" si="74"/>
        <v>45992</v>
      </c>
      <c r="P773" s="13">
        <f t="shared" si="75"/>
        <v>0.16209690400815582</v>
      </c>
      <c r="Q773" s="5">
        <f t="shared" si="76"/>
        <v>202512</v>
      </c>
      <c r="R773" s="21">
        <f t="shared" si="77"/>
        <v>45992</v>
      </c>
    </row>
    <row r="774" spans="1:18" x14ac:dyDescent="0.25">
      <c r="A774" s="5" t="s">
        <v>1410</v>
      </c>
      <c r="B774" s="14">
        <v>45569</v>
      </c>
      <c r="C774" s="5" t="s">
        <v>1411</v>
      </c>
      <c r="D774" s="10" t="s">
        <v>42</v>
      </c>
      <c r="E774" s="10" t="s">
        <v>133</v>
      </c>
      <c r="F774" s="10" t="s">
        <v>75</v>
      </c>
      <c r="G774" s="15">
        <v>1</v>
      </c>
      <c r="H774" s="11">
        <v>2580.5600999999997</v>
      </c>
      <c r="I774" s="12">
        <v>0</v>
      </c>
      <c r="J774" s="11">
        <v>2580.5600999999997</v>
      </c>
      <c r="K774" s="11">
        <v>887.62940000000003</v>
      </c>
      <c r="L774" s="10" t="s">
        <v>17</v>
      </c>
      <c r="M774" s="5">
        <f t="shared" si="72"/>
        <v>2024</v>
      </c>
      <c r="N774" s="5">
        <f t="shared" si="73"/>
        <v>10</v>
      </c>
      <c r="O774" s="21">
        <f t="shared" si="74"/>
        <v>45566</v>
      </c>
      <c r="P774" s="13">
        <f t="shared" si="75"/>
        <v>0.34396773010634402</v>
      </c>
      <c r="Q774" s="5">
        <f t="shared" si="76"/>
        <v>202410</v>
      </c>
      <c r="R774" s="21">
        <f t="shared" si="77"/>
        <v>45566</v>
      </c>
    </row>
    <row r="775" spans="1:18" x14ac:dyDescent="0.25">
      <c r="A775" s="5" t="s">
        <v>1412</v>
      </c>
      <c r="B775" s="14">
        <v>45918</v>
      </c>
      <c r="C775" s="5" t="s">
        <v>637</v>
      </c>
      <c r="D775" s="10" t="s">
        <v>42</v>
      </c>
      <c r="E775" s="10" t="s">
        <v>309</v>
      </c>
      <c r="F775" s="10" t="s">
        <v>75</v>
      </c>
      <c r="G775" s="15">
        <v>2</v>
      </c>
      <c r="H775" s="11">
        <v>2740.4847999999997</v>
      </c>
      <c r="I775" s="12">
        <v>0</v>
      </c>
      <c r="J775" s="11">
        <v>5480.9695999999994</v>
      </c>
      <c r="K775" s="11">
        <v>1517.8652</v>
      </c>
      <c r="L775" s="10" t="s">
        <v>34</v>
      </c>
      <c r="M775" s="5">
        <f t="shared" si="72"/>
        <v>2025</v>
      </c>
      <c r="N775" s="5">
        <f t="shared" si="73"/>
        <v>9</v>
      </c>
      <c r="O775" s="21">
        <f t="shared" si="74"/>
        <v>45901</v>
      </c>
      <c r="P775" s="13">
        <f t="shared" si="75"/>
        <v>0.27693370165745856</v>
      </c>
      <c r="Q775" s="5">
        <f t="shared" si="76"/>
        <v>202509</v>
      </c>
      <c r="R775" s="21">
        <f t="shared" si="77"/>
        <v>45901</v>
      </c>
    </row>
    <row r="776" spans="1:18" x14ac:dyDescent="0.25">
      <c r="A776" s="5" t="s">
        <v>1413</v>
      </c>
      <c r="B776" s="14">
        <v>45819</v>
      </c>
      <c r="C776" s="5" t="s">
        <v>1414</v>
      </c>
      <c r="D776" s="10" t="s">
        <v>37</v>
      </c>
      <c r="E776" s="10" t="s">
        <v>460</v>
      </c>
      <c r="F776" s="10" t="s">
        <v>75</v>
      </c>
      <c r="G776" s="15">
        <v>1</v>
      </c>
      <c r="H776" s="11">
        <v>5521.6605</v>
      </c>
      <c r="I776" s="12">
        <v>20</v>
      </c>
      <c r="J776" s="11">
        <v>4417.3283999999994</v>
      </c>
      <c r="K776" s="11">
        <v>1495.154</v>
      </c>
      <c r="L776" s="10" t="s">
        <v>23</v>
      </c>
      <c r="M776" s="5">
        <f t="shared" si="72"/>
        <v>2025</v>
      </c>
      <c r="N776" s="5">
        <f t="shared" si="73"/>
        <v>6</v>
      </c>
      <c r="O776" s="21">
        <f t="shared" si="74"/>
        <v>45809</v>
      </c>
      <c r="P776" s="13">
        <f t="shared" si="75"/>
        <v>0.33847472150814056</v>
      </c>
      <c r="Q776" s="5">
        <f t="shared" si="76"/>
        <v>202506</v>
      </c>
      <c r="R776" s="21">
        <f t="shared" si="77"/>
        <v>45809</v>
      </c>
    </row>
    <row r="777" spans="1:18" x14ac:dyDescent="0.25">
      <c r="A777" s="5" t="s">
        <v>1415</v>
      </c>
      <c r="B777" s="14">
        <v>45655</v>
      </c>
      <c r="C777" s="5" t="s">
        <v>1360</v>
      </c>
      <c r="D777" s="10" t="s">
        <v>14</v>
      </c>
      <c r="E777" s="10" t="s">
        <v>187</v>
      </c>
      <c r="F777" s="10" t="s">
        <v>75</v>
      </c>
      <c r="G777" s="15">
        <v>3</v>
      </c>
      <c r="H777" s="11">
        <v>2284.3681999999999</v>
      </c>
      <c r="I777" s="12">
        <v>10</v>
      </c>
      <c r="J777" s="11">
        <v>6167.9834000000001</v>
      </c>
      <c r="K777" s="11">
        <v>1268.0419999999999</v>
      </c>
      <c r="L777" s="10" t="s">
        <v>17</v>
      </c>
      <c r="M777" s="5">
        <f t="shared" si="72"/>
        <v>2024</v>
      </c>
      <c r="N777" s="5">
        <f t="shared" si="73"/>
        <v>12</v>
      </c>
      <c r="O777" s="21">
        <f t="shared" si="74"/>
        <v>45627</v>
      </c>
      <c r="P777" s="13">
        <f t="shared" si="75"/>
        <v>0.20558453513347652</v>
      </c>
      <c r="Q777" s="5">
        <f t="shared" si="76"/>
        <v>202412</v>
      </c>
      <c r="R777" s="21">
        <f t="shared" si="77"/>
        <v>45627</v>
      </c>
    </row>
    <row r="778" spans="1:18" x14ac:dyDescent="0.25">
      <c r="A778" s="5" t="s">
        <v>1416</v>
      </c>
      <c r="B778" s="14">
        <v>45793</v>
      </c>
      <c r="C778" s="5" t="s">
        <v>1417</v>
      </c>
      <c r="D778" s="10" t="s">
        <v>20</v>
      </c>
      <c r="E778" s="10" t="s">
        <v>118</v>
      </c>
      <c r="F778" s="10" t="s">
        <v>49</v>
      </c>
      <c r="G778" s="15">
        <v>1</v>
      </c>
      <c r="H778" s="11">
        <v>3891.1855999999998</v>
      </c>
      <c r="I778" s="12">
        <v>15</v>
      </c>
      <c r="J778" s="11">
        <v>3307.3185000000003</v>
      </c>
      <c r="K778" s="11">
        <v>1665.4880000000001</v>
      </c>
      <c r="L778" s="10" t="s">
        <v>23</v>
      </c>
      <c r="M778" s="5">
        <f t="shared" si="72"/>
        <v>2025</v>
      </c>
      <c r="N778" s="5">
        <f t="shared" si="73"/>
        <v>5</v>
      </c>
      <c r="O778" s="21">
        <f t="shared" si="74"/>
        <v>45778</v>
      </c>
      <c r="P778" s="13">
        <f t="shared" si="75"/>
        <v>0.50357653791130186</v>
      </c>
      <c r="Q778" s="5">
        <f t="shared" si="76"/>
        <v>202505</v>
      </c>
      <c r="R778" s="21">
        <f t="shared" si="77"/>
        <v>45778</v>
      </c>
    </row>
    <row r="779" spans="1:18" x14ac:dyDescent="0.25">
      <c r="A779" s="5" t="s">
        <v>1418</v>
      </c>
      <c r="B779" s="14">
        <v>45886</v>
      </c>
      <c r="C779" s="5" t="s">
        <v>695</v>
      </c>
      <c r="D779" s="10" t="s">
        <v>37</v>
      </c>
      <c r="E779" s="10" t="s">
        <v>61</v>
      </c>
      <c r="F779" s="10" t="s">
        <v>39</v>
      </c>
      <c r="G779" s="15">
        <v>1</v>
      </c>
      <c r="H779" s="11">
        <v>4162.7736999999997</v>
      </c>
      <c r="I779" s="12">
        <v>5</v>
      </c>
      <c r="J779" s="11">
        <v>3954.5876999999996</v>
      </c>
      <c r="K779" s="11">
        <v>1221.6732999999999</v>
      </c>
      <c r="L779" s="10" t="s">
        <v>23</v>
      </c>
      <c r="M779" s="5">
        <f t="shared" si="72"/>
        <v>2025</v>
      </c>
      <c r="N779" s="5">
        <f t="shared" si="73"/>
        <v>8</v>
      </c>
      <c r="O779" s="21">
        <f t="shared" si="74"/>
        <v>45870</v>
      </c>
      <c r="P779" s="13">
        <f t="shared" si="75"/>
        <v>0.30892558028236422</v>
      </c>
      <c r="Q779" s="5">
        <f t="shared" si="76"/>
        <v>202508</v>
      </c>
      <c r="R779" s="21">
        <f t="shared" si="77"/>
        <v>45870</v>
      </c>
    </row>
    <row r="780" spans="1:18" x14ac:dyDescent="0.25">
      <c r="A780" s="5" t="s">
        <v>1419</v>
      </c>
      <c r="B780" s="14">
        <v>45618</v>
      </c>
      <c r="C780" s="5" t="s">
        <v>1420</v>
      </c>
      <c r="D780" s="10" t="s">
        <v>14</v>
      </c>
      <c r="E780" s="10" t="s">
        <v>58</v>
      </c>
      <c r="F780" s="10" t="s">
        <v>49</v>
      </c>
      <c r="G780" s="15">
        <v>1</v>
      </c>
      <c r="H780" s="11">
        <v>5394.8562999999995</v>
      </c>
      <c r="I780" s="12">
        <v>5</v>
      </c>
      <c r="J780" s="11">
        <v>5125.1607999999997</v>
      </c>
      <c r="K780" s="11">
        <v>2751.8403999999996</v>
      </c>
      <c r="L780" s="10" t="s">
        <v>17</v>
      </c>
      <c r="M780" s="5">
        <f t="shared" si="72"/>
        <v>2024</v>
      </c>
      <c r="N780" s="5">
        <f t="shared" si="73"/>
        <v>11</v>
      </c>
      <c r="O780" s="21">
        <f t="shared" si="74"/>
        <v>45597</v>
      </c>
      <c r="P780" s="13">
        <f t="shared" si="75"/>
        <v>0.53692762186115206</v>
      </c>
      <c r="Q780" s="5">
        <f t="shared" si="76"/>
        <v>202411</v>
      </c>
      <c r="R780" s="21">
        <f t="shared" si="77"/>
        <v>45597</v>
      </c>
    </row>
    <row r="781" spans="1:18" x14ac:dyDescent="0.25">
      <c r="A781" s="5" t="s">
        <v>1421</v>
      </c>
      <c r="B781" s="14">
        <v>45519</v>
      </c>
      <c r="C781" s="5" t="s">
        <v>1422</v>
      </c>
      <c r="D781" s="10" t="s">
        <v>42</v>
      </c>
      <c r="E781" s="10" t="s">
        <v>460</v>
      </c>
      <c r="F781" s="10" t="s">
        <v>75</v>
      </c>
      <c r="G781" s="15">
        <v>1</v>
      </c>
      <c r="H781" s="11">
        <v>3989.6007999999997</v>
      </c>
      <c r="I781" s="12">
        <v>0</v>
      </c>
      <c r="J781" s="11">
        <v>3989.6007999999997</v>
      </c>
      <c r="K781" s="11">
        <v>770.28819999999996</v>
      </c>
      <c r="L781" s="10" t="s">
        <v>17</v>
      </c>
      <c r="M781" s="5">
        <f t="shared" si="72"/>
        <v>2024</v>
      </c>
      <c r="N781" s="5">
        <f t="shared" si="73"/>
        <v>8</v>
      </c>
      <c r="O781" s="21">
        <f t="shared" si="74"/>
        <v>45505</v>
      </c>
      <c r="P781" s="13">
        <f t="shared" si="75"/>
        <v>0.19307400379506642</v>
      </c>
      <c r="Q781" s="5">
        <f t="shared" si="76"/>
        <v>202408</v>
      </c>
      <c r="R781" s="21">
        <f t="shared" si="77"/>
        <v>45505</v>
      </c>
    </row>
    <row r="782" spans="1:18" x14ac:dyDescent="0.25">
      <c r="A782" s="5" t="s">
        <v>1423</v>
      </c>
      <c r="B782" s="14">
        <v>45411</v>
      </c>
      <c r="C782" s="5" t="s">
        <v>1138</v>
      </c>
      <c r="D782" s="10" t="s">
        <v>20</v>
      </c>
      <c r="E782" s="10" t="s">
        <v>88</v>
      </c>
      <c r="F782" s="10" t="s">
        <v>22</v>
      </c>
      <c r="G782" s="15">
        <v>2</v>
      </c>
      <c r="H782" s="11">
        <v>1538.6838</v>
      </c>
      <c r="I782" s="12">
        <v>0</v>
      </c>
      <c r="J782" s="11">
        <v>3077.3676</v>
      </c>
      <c r="K782" s="11">
        <v>1293.5920999999998</v>
      </c>
      <c r="L782" s="10" t="s">
        <v>17</v>
      </c>
      <c r="M782" s="5">
        <f t="shared" si="72"/>
        <v>2024</v>
      </c>
      <c r="N782" s="5">
        <f t="shared" si="73"/>
        <v>4</v>
      </c>
      <c r="O782" s="21">
        <f t="shared" si="74"/>
        <v>45383</v>
      </c>
      <c r="P782" s="13">
        <f t="shared" si="75"/>
        <v>0.42035670356703564</v>
      </c>
      <c r="Q782" s="5">
        <f t="shared" si="76"/>
        <v>202404</v>
      </c>
      <c r="R782" s="21">
        <f t="shared" si="77"/>
        <v>45383</v>
      </c>
    </row>
    <row r="783" spans="1:18" x14ac:dyDescent="0.25">
      <c r="A783" s="5" t="s">
        <v>1424</v>
      </c>
      <c r="B783" s="14">
        <v>45552</v>
      </c>
      <c r="C783" s="5" t="s">
        <v>967</v>
      </c>
      <c r="D783" s="10" t="s">
        <v>20</v>
      </c>
      <c r="E783" s="10" t="s">
        <v>211</v>
      </c>
      <c r="F783" s="10" t="s">
        <v>39</v>
      </c>
      <c r="G783" s="15">
        <v>2</v>
      </c>
      <c r="H783" s="11">
        <v>4218.6053999999995</v>
      </c>
      <c r="I783" s="12">
        <v>0</v>
      </c>
      <c r="J783" s="11">
        <v>8437.2107999999989</v>
      </c>
      <c r="K783" s="11">
        <v>3062.2267999999999</v>
      </c>
      <c r="L783" s="10" t="s">
        <v>34</v>
      </c>
      <c r="M783" s="5">
        <f t="shared" si="72"/>
        <v>2024</v>
      </c>
      <c r="N783" s="5">
        <f t="shared" si="73"/>
        <v>9</v>
      </c>
      <c r="O783" s="21">
        <f t="shared" si="74"/>
        <v>45536</v>
      </c>
      <c r="P783" s="13">
        <f t="shared" si="75"/>
        <v>0.36294302377747872</v>
      </c>
      <c r="Q783" s="5">
        <f t="shared" si="76"/>
        <v>202409</v>
      </c>
      <c r="R783" s="21">
        <f t="shared" si="77"/>
        <v>45536</v>
      </c>
    </row>
    <row r="784" spans="1:18" x14ac:dyDescent="0.25">
      <c r="A784" s="5" t="s">
        <v>1425</v>
      </c>
      <c r="B784" s="14">
        <v>45668</v>
      </c>
      <c r="C784" s="5" t="s">
        <v>1426</v>
      </c>
      <c r="D784" s="10" t="s">
        <v>26</v>
      </c>
      <c r="E784" s="10" t="s">
        <v>148</v>
      </c>
      <c r="F784" s="10" t="s">
        <v>16</v>
      </c>
      <c r="G784" s="15">
        <v>3</v>
      </c>
      <c r="H784" s="11">
        <v>7745.4654999999993</v>
      </c>
      <c r="I784" s="12">
        <v>5</v>
      </c>
      <c r="J784" s="11">
        <v>22074.340100000001</v>
      </c>
      <c r="K784" s="11">
        <v>5186.6702999999998</v>
      </c>
      <c r="L784" s="10" t="s">
        <v>17</v>
      </c>
      <c r="M784" s="5">
        <f t="shared" si="72"/>
        <v>2025</v>
      </c>
      <c r="N784" s="5">
        <f t="shared" si="73"/>
        <v>1</v>
      </c>
      <c r="O784" s="21">
        <f t="shared" si="74"/>
        <v>45658</v>
      </c>
      <c r="P784" s="13">
        <f t="shared" si="75"/>
        <v>0.23496377588202511</v>
      </c>
      <c r="Q784" s="5">
        <f t="shared" si="76"/>
        <v>202501</v>
      </c>
      <c r="R784" s="21">
        <f t="shared" si="77"/>
        <v>45658</v>
      </c>
    </row>
    <row r="785" spans="1:18" x14ac:dyDescent="0.25">
      <c r="A785" s="5" t="s">
        <v>1427</v>
      </c>
      <c r="B785" s="14">
        <v>45972</v>
      </c>
      <c r="C785" s="5" t="s">
        <v>887</v>
      </c>
      <c r="D785" s="10" t="s">
        <v>42</v>
      </c>
      <c r="E785" s="10" t="s">
        <v>208</v>
      </c>
      <c r="F785" s="10" t="s">
        <v>22</v>
      </c>
      <c r="G785" s="15">
        <v>1</v>
      </c>
      <c r="H785" s="11">
        <v>1871.7814000000001</v>
      </c>
      <c r="I785" s="12">
        <v>5</v>
      </c>
      <c r="J785" s="11">
        <v>1778.0976999999998</v>
      </c>
      <c r="K785" s="11">
        <v>853.56259999999997</v>
      </c>
      <c r="L785" s="10" t="s">
        <v>17</v>
      </c>
      <c r="M785" s="5">
        <f t="shared" si="72"/>
        <v>2025</v>
      </c>
      <c r="N785" s="5">
        <f t="shared" si="73"/>
        <v>11</v>
      </c>
      <c r="O785" s="21">
        <f t="shared" si="74"/>
        <v>45962</v>
      </c>
      <c r="P785" s="13">
        <f t="shared" si="75"/>
        <v>0.48004257583821186</v>
      </c>
      <c r="Q785" s="5">
        <f t="shared" si="76"/>
        <v>202511</v>
      </c>
      <c r="R785" s="21">
        <f t="shared" si="77"/>
        <v>45962</v>
      </c>
    </row>
    <row r="786" spans="1:18" x14ac:dyDescent="0.25">
      <c r="A786" s="5" t="s">
        <v>1428</v>
      </c>
      <c r="B786" s="14">
        <v>45348</v>
      </c>
      <c r="C786" s="5" t="s">
        <v>248</v>
      </c>
      <c r="D786" s="10" t="s">
        <v>14</v>
      </c>
      <c r="E786" s="10" t="s">
        <v>111</v>
      </c>
      <c r="F786" s="10" t="s">
        <v>49</v>
      </c>
      <c r="G786" s="15">
        <v>3</v>
      </c>
      <c r="H786" s="11">
        <v>2935.4225999999999</v>
      </c>
      <c r="I786" s="12">
        <v>0</v>
      </c>
      <c r="J786" s="11">
        <v>8806.2677999999996</v>
      </c>
      <c r="K786" s="11">
        <v>3295.0165999999999</v>
      </c>
      <c r="L786" s="10" t="s">
        <v>17</v>
      </c>
      <c r="M786" s="5">
        <f t="shared" si="72"/>
        <v>2024</v>
      </c>
      <c r="N786" s="5">
        <f t="shared" si="73"/>
        <v>2</v>
      </c>
      <c r="O786" s="21">
        <f t="shared" si="74"/>
        <v>45323</v>
      </c>
      <c r="P786" s="13">
        <f t="shared" si="75"/>
        <v>0.37416720395443798</v>
      </c>
      <c r="Q786" s="5">
        <f t="shared" si="76"/>
        <v>202402</v>
      </c>
      <c r="R786" s="21">
        <f t="shared" si="77"/>
        <v>45323</v>
      </c>
    </row>
    <row r="787" spans="1:18" x14ac:dyDescent="0.25">
      <c r="A787" s="5" t="s">
        <v>1429</v>
      </c>
      <c r="B787" s="14">
        <v>45308</v>
      </c>
      <c r="C787" s="5" t="s">
        <v>1430</v>
      </c>
      <c r="D787" s="10" t="s">
        <v>37</v>
      </c>
      <c r="E787" s="10" t="s">
        <v>309</v>
      </c>
      <c r="F787" s="10" t="s">
        <v>75</v>
      </c>
      <c r="G787" s="15">
        <v>4</v>
      </c>
      <c r="H787" s="11">
        <v>5140.3015999999998</v>
      </c>
      <c r="I787" s="12">
        <v>15</v>
      </c>
      <c r="J787" s="11">
        <v>17477.2147</v>
      </c>
      <c r="K787" s="11">
        <v>5769.5910999999996</v>
      </c>
      <c r="L787" s="10" t="s">
        <v>23</v>
      </c>
      <c r="M787" s="5">
        <f t="shared" si="72"/>
        <v>2024</v>
      </c>
      <c r="N787" s="5">
        <f t="shared" si="73"/>
        <v>1</v>
      </c>
      <c r="O787" s="21">
        <f t="shared" si="74"/>
        <v>45292</v>
      </c>
      <c r="P787" s="13">
        <f t="shared" si="75"/>
        <v>0.33012074286642479</v>
      </c>
      <c r="Q787" s="5">
        <f t="shared" si="76"/>
        <v>202401</v>
      </c>
      <c r="R787" s="21">
        <f t="shared" si="77"/>
        <v>45292</v>
      </c>
    </row>
    <row r="788" spans="1:18" x14ac:dyDescent="0.25">
      <c r="A788" s="5" t="s">
        <v>1431</v>
      </c>
      <c r="B788" s="14">
        <v>45386</v>
      </c>
      <c r="C788" s="5" t="s">
        <v>1432</v>
      </c>
      <c r="D788" s="10" t="s">
        <v>37</v>
      </c>
      <c r="E788" s="10" t="s">
        <v>27</v>
      </c>
      <c r="F788" s="10" t="s">
        <v>22</v>
      </c>
      <c r="G788" s="15">
        <v>3</v>
      </c>
      <c r="H788" s="11">
        <v>3055.6026999999999</v>
      </c>
      <c r="I788" s="12">
        <v>10</v>
      </c>
      <c r="J788" s="11">
        <v>8249.8433999999997</v>
      </c>
      <c r="K788" s="11">
        <v>5361.7357999999995</v>
      </c>
      <c r="L788" s="10" t="s">
        <v>17</v>
      </c>
      <c r="M788" s="5">
        <f t="shared" si="72"/>
        <v>2024</v>
      </c>
      <c r="N788" s="5">
        <f t="shared" si="73"/>
        <v>4</v>
      </c>
      <c r="O788" s="21">
        <f t="shared" si="74"/>
        <v>45383</v>
      </c>
      <c r="P788" s="13">
        <f t="shared" si="75"/>
        <v>0.64991970635466845</v>
      </c>
      <c r="Q788" s="5">
        <f t="shared" si="76"/>
        <v>202404</v>
      </c>
      <c r="R788" s="21">
        <f t="shared" si="77"/>
        <v>45383</v>
      </c>
    </row>
    <row r="789" spans="1:18" x14ac:dyDescent="0.25">
      <c r="A789" s="5" t="s">
        <v>1433</v>
      </c>
      <c r="B789" s="14">
        <v>45777</v>
      </c>
      <c r="C789" s="5" t="s">
        <v>1434</v>
      </c>
      <c r="D789" s="10" t="s">
        <v>42</v>
      </c>
      <c r="E789" s="10" t="s">
        <v>460</v>
      </c>
      <c r="F789" s="10" t="s">
        <v>75</v>
      </c>
      <c r="G789" s="15">
        <v>1</v>
      </c>
      <c r="H789" s="11">
        <v>1812.1644999999999</v>
      </c>
      <c r="I789" s="12">
        <v>0</v>
      </c>
      <c r="J789" s="11">
        <v>1812.1644999999999</v>
      </c>
      <c r="K789" s="11">
        <v>374.73480000000001</v>
      </c>
      <c r="L789" s="10" t="s">
        <v>17</v>
      </c>
      <c r="M789" s="5">
        <f t="shared" si="72"/>
        <v>2025</v>
      </c>
      <c r="N789" s="5">
        <f t="shared" si="73"/>
        <v>4</v>
      </c>
      <c r="O789" s="21">
        <f t="shared" si="74"/>
        <v>45748</v>
      </c>
      <c r="P789" s="13">
        <f t="shared" si="75"/>
        <v>0.20678851174934729</v>
      </c>
      <c r="Q789" s="5">
        <f t="shared" si="76"/>
        <v>202504</v>
      </c>
      <c r="R789" s="21">
        <f t="shared" si="77"/>
        <v>45748</v>
      </c>
    </row>
    <row r="790" spans="1:18" x14ac:dyDescent="0.25">
      <c r="A790" s="5" t="s">
        <v>1435</v>
      </c>
      <c r="B790" s="14">
        <v>45470</v>
      </c>
      <c r="C790" s="5" t="s">
        <v>1436</v>
      </c>
      <c r="D790" s="10" t="s">
        <v>42</v>
      </c>
      <c r="E790" s="10" t="s">
        <v>15</v>
      </c>
      <c r="F790" s="10" t="s">
        <v>16</v>
      </c>
      <c r="G790" s="15">
        <v>1</v>
      </c>
      <c r="H790" s="11">
        <v>4244.1554999999998</v>
      </c>
      <c r="I790" s="12">
        <v>10</v>
      </c>
      <c r="J790" s="11">
        <v>3820.2130999999995</v>
      </c>
      <c r="K790" s="11">
        <v>770.28819999999996</v>
      </c>
      <c r="L790" s="10" t="s">
        <v>23</v>
      </c>
      <c r="M790" s="5">
        <f t="shared" si="72"/>
        <v>2024</v>
      </c>
      <c r="N790" s="5">
        <f t="shared" si="73"/>
        <v>6</v>
      </c>
      <c r="O790" s="21">
        <f t="shared" si="74"/>
        <v>45444</v>
      </c>
      <c r="P790" s="13">
        <f t="shared" si="75"/>
        <v>0.20163487738419619</v>
      </c>
      <c r="Q790" s="5">
        <f t="shared" si="76"/>
        <v>202406</v>
      </c>
      <c r="R790" s="21">
        <f t="shared" si="77"/>
        <v>45444</v>
      </c>
    </row>
    <row r="791" spans="1:18" x14ac:dyDescent="0.25">
      <c r="A791" s="5" t="s">
        <v>1437</v>
      </c>
      <c r="B791" s="14">
        <v>45566</v>
      </c>
      <c r="C791" s="5" t="s">
        <v>1438</v>
      </c>
      <c r="D791" s="10" t="s">
        <v>42</v>
      </c>
      <c r="E791" s="10" t="s">
        <v>61</v>
      </c>
      <c r="F791" s="10" t="s">
        <v>39</v>
      </c>
      <c r="G791" s="15">
        <v>2</v>
      </c>
      <c r="H791" s="11">
        <v>6983.6939999999995</v>
      </c>
      <c r="I791" s="12">
        <v>15</v>
      </c>
      <c r="J791" s="11">
        <v>11872.279799999998</v>
      </c>
      <c r="K791" s="11">
        <v>2635.4454999999998</v>
      </c>
      <c r="L791" s="10" t="s">
        <v>23</v>
      </c>
      <c r="M791" s="5">
        <f t="shared" si="72"/>
        <v>2024</v>
      </c>
      <c r="N791" s="5">
        <f t="shared" si="73"/>
        <v>10</v>
      </c>
      <c r="O791" s="21">
        <f t="shared" si="74"/>
        <v>45566</v>
      </c>
      <c r="P791" s="13">
        <f t="shared" si="75"/>
        <v>0.22198310218396303</v>
      </c>
      <c r="Q791" s="5">
        <f t="shared" si="76"/>
        <v>202410</v>
      </c>
      <c r="R791" s="21">
        <f t="shared" si="77"/>
        <v>45566</v>
      </c>
    </row>
    <row r="792" spans="1:18" x14ac:dyDescent="0.25">
      <c r="A792" s="5" t="s">
        <v>1439</v>
      </c>
      <c r="B792" s="14">
        <v>45364</v>
      </c>
      <c r="C792" s="5" t="s">
        <v>340</v>
      </c>
      <c r="D792" s="10" t="s">
        <v>42</v>
      </c>
      <c r="E792" s="10" t="s">
        <v>48</v>
      </c>
      <c r="F792" s="10" t="s">
        <v>49</v>
      </c>
      <c r="G792" s="15">
        <v>1</v>
      </c>
      <c r="H792" s="11">
        <v>3613.9196999999995</v>
      </c>
      <c r="I792" s="12">
        <v>25</v>
      </c>
      <c r="J792" s="11">
        <v>2710.2031999999999</v>
      </c>
      <c r="K792" s="11">
        <v>1127.9895999999999</v>
      </c>
      <c r="L792" s="10" t="s">
        <v>17</v>
      </c>
      <c r="M792" s="5">
        <f t="shared" si="72"/>
        <v>2024</v>
      </c>
      <c r="N792" s="5">
        <f t="shared" si="73"/>
        <v>3</v>
      </c>
      <c r="O792" s="21">
        <f t="shared" si="74"/>
        <v>45352</v>
      </c>
      <c r="P792" s="13">
        <f t="shared" si="75"/>
        <v>0.41620111731843573</v>
      </c>
      <c r="Q792" s="5">
        <f t="shared" si="76"/>
        <v>202403</v>
      </c>
      <c r="R792" s="21">
        <f t="shared" si="77"/>
        <v>45352</v>
      </c>
    </row>
    <row r="793" spans="1:18" x14ac:dyDescent="0.25">
      <c r="A793" s="5" t="s">
        <v>1440</v>
      </c>
      <c r="B793" s="14">
        <v>45410</v>
      </c>
      <c r="C793" s="5" t="s">
        <v>1441</v>
      </c>
      <c r="D793" s="10" t="s">
        <v>26</v>
      </c>
      <c r="E793" s="10" t="s">
        <v>69</v>
      </c>
      <c r="F793" s="10" t="s">
        <v>39</v>
      </c>
      <c r="G793" s="15">
        <v>1</v>
      </c>
      <c r="H793" s="11">
        <v>4071.9288999999999</v>
      </c>
      <c r="I793" s="12">
        <v>0</v>
      </c>
      <c r="J793" s="11">
        <v>4071.9288999999999</v>
      </c>
      <c r="K793" s="11">
        <v>1042.8226</v>
      </c>
      <c r="L793" s="10" t="s">
        <v>17</v>
      </c>
      <c r="M793" s="5">
        <f t="shared" si="72"/>
        <v>2024</v>
      </c>
      <c r="N793" s="5">
        <f t="shared" si="73"/>
        <v>4</v>
      </c>
      <c r="O793" s="21">
        <f t="shared" si="74"/>
        <v>45383</v>
      </c>
      <c r="P793" s="13">
        <f t="shared" si="75"/>
        <v>0.25610039507320476</v>
      </c>
      <c r="Q793" s="5">
        <f t="shared" si="76"/>
        <v>202404</v>
      </c>
      <c r="R793" s="21">
        <f t="shared" si="77"/>
        <v>45383</v>
      </c>
    </row>
    <row r="794" spans="1:18" x14ac:dyDescent="0.25">
      <c r="A794" s="5" t="s">
        <v>1442</v>
      </c>
      <c r="B794" s="14">
        <v>45579</v>
      </c>
      <c r="C794" s="5" t="s">
        <v>1443</v>
      </c>
      <c r="D794" s="10" t="s">
        <v>20</v>
      </c>
      <c r="E794" s="10" t="s">
        <v>21</v>
      </c>
      <c r="F794" s="10" t="s">
        <v>22</v>
      </c>
      <c r="G794" s="15">
        <v>4</v>
      </c>
      <c r="H794" s="11">
        <v>1417.5573999999999</v>
      </c>
      <c r="I794" s="12">
        <v>10</v>
      </c>
      <c r="J794" s="11">
        <v>5103.3958999999995</v>
      </c>
      <c r="K794" s="11">
        <v>2825.6517999999996</v>
      </c>
      <c r="L794" s="10" t="s">
        <v>17</v>
      </c>
      <c r="M794" s="5">
        <f t="shared" si="72"/>
        <v>2024</v>
      </c>
      <c r="N794" s="5">
        <f t="shared" si="73"/>
        <v>10</v>
      </c>
      <c r="O794" s="21">
        <f t="shared" si="74"/>
        <v>45566</v>
      </c>
      <c r="P794" s="13">
        <f t="shared" si="75"/>
        <v>0.55368069720007418</v>
      </c>
      <c r="Q794" s="5">
        <f t="shared" si="76"/>
        <v>202410</v>
      </c>
      <c r="R794" s="21">
        <f t="shared" si="77"/>
        <v>45566</v>
      </c>
    </row>
    <row r="795" spans="1:18" x14ac:dyDescent="0.25">
      <c r="A795" s="5" t="s">
        <v>1444</v>
      </c>
      <c r="B795" s="14">
        <v>45479</v>
      </c>
      <c r="C795" s="5" t="s">
        <v>1445</v>
      </c>
      <c r="D795" s="10" t="s">
        <v>26</v>
      </c>
      <c r="E795" s="10" t="s">
        <v>58</v>
      </c>
      <c r="F795" s="10" t="s">
        <v>49</v>
      </c>
      <c r="G795" s="15">
        <v>3</v>
      </c>
      <c r="H795" s="11">
        <v>7687.7411999999995</v>
      </c>
      <c r="I795" s="12">
        <v>15</v>
      </c>
      <c r="J795" s="11">
        <v>19603.550799999997</v>
      </c>
      <c r="K795" s="11">
        <v>6838.9100999999991</v>
      </c>
      <c r="L795" s="10" t="s">
        <v>17</v>
      </c>
      <c r="M795" s="5">
        <f t="shared" si="72"/>
        <v>2024</v>
      </c>
      <c r="N795" s="5">
        <f t="shared" si="73"/>
        <v>7</v>
      </c>
      <c r="O795" s="21">
        <f t="shared" si="74"/>
        <v>45474</v>
      </c>
      <c r="P795" s="13">
        <f t="shared" si="75"/>
        <v>0.3488607839351226</v>
      </c>
      <c r="Q795" s="5">
        <f t="shared" si="76"/>
        <v>202407</v>
      </c>
      <c r="R795" s="21">
        <f t="shared" si="77"/>
        <v>45474</v>
      </c>
    </row>
    <row r="796" spans="1:18" x14ac:dyDescent="0.25">
      <c r="A796" s="5" t="s">
        <v>1446</v>
      </c>
      <c r="B796" s="14">
        <v>45916</v>
      </c>
      <c r="C796" s="5" t="s">
        <v>1447</v>
      </c>
      <c r="D796" s="10" t="s">
        <v>20</v>
      </c>
      <c r="E796" s="10" t="s">
        <v>253</v>
      </c>
      <c r="F796" s="10" t="s">
        <v>49</v>
      </c>
      <c r="G796" s="15">
        <v>5</v>
      </c>
      <c r="H796" s="11">
        <v>6919.3455999999996</v>
      </c>
      <c r="I796" s="12">
        <v>0</v>
      </c>
      <c r="J796" s="11">
        <v>34596.728000000003</v>
      </c>
      <c r="K796" s="11">
        <v>14199.2315</v>
      </c>
      <c r="L796" s="10" t="s">
        <v>17</v>
      </c>
      <c r="M796" s="5">
        <f t="shared" si="72"/>
        <v>2025</v>
      </c>
      <c r="N796" s="5">
        <f t="shared" si="73"/>
        <v>9</v>
      </c>
      <c r="O796" s="21">
        <f t="shared" si="74"/>
        <v>45901</v>
      </c>
      <c r="P796" s="13">
        <f t="shared" si="75"/>
        <v>0.41042122538293213</v>
      </c>
      <c r="Q796" s="5">
        <f t="shared" si="76"/>
        <v>202509</v>
      </c>
      <c r="R796" s="21">
        <f t="shared" si="77"/>
        <v>45901</v>
      </c>
    </row>
    <row r="797" spans="1:18" x14ac:dyDescent="0.25">
      <c r="A797" s="5" t="s">
        <v>1448</v>
      </c>
      <c r="B797" s="14">
        <v>45713</v>
      </c>
      <c r="C797" s="5" t="s">
        <v>683</v>
      </c>
      <c r="D797" s="10" t="s">
        <v>14</v>
      </c>
      <c r="E797" s="10" t="s">
        <v>154</v>
      </c>
      <c r="F797" s="10" t="s">
        <v>39</v>
      </c>
      <c r="G797" s="15">
        <v>2</v>
      </c>
      <c r="H797" s="11">
        <v>4376.6374999999998</v>
      </c>
      <c r="I797" s="12">
        <v>10</v>
      </c>
      <c r="J797" s="11">
        <v>7877.9474999999993</v>
      </c>
      <c r="K797" s="11">
        <v>1966.4114</v>
      </c>
      <c r="L797" s="10" t="s">
        <v>17</v>
      </c>
      <c r="M797" s="5">
        <f t="shared" si="72"/>
        <v>2025</v>
      </c>
      <c r="N797" s="5">
        <f t="shared" si="73"/>
        <v>2</v>
      </c>
      <c r="O797" s="21">
        <f t="shared" si="74"/>
        <v>45689</v>
      </c>
      <c r="P797" s="13">
        <f t="shared" si="75"/>
        <v>0.24960960960960962</v>
      </c>
      <c r="Q797" s="5">
        <f t="shared" si="76"/>
        <v>202502</v>
      </c>
      <c r="R797" s="21">
        <f t="shared" si="77"/>
        <v>45689</v>
      </c>
    </row>
    <row r="798" spans="1:18" x14ac:dyDescent="0.25">
      <c r="A798" s="5" t="s">
        <v>1449</v>
      </c>
      <c r="B798" s="14">
        <v>45748</v>
      </c>
      <c r="C798" s="5" t="s">
        <v>1450</v>
      </c>
      <c r="D798" s="10" t="s">
        <v>37</v>
      </c>
      <c r="E798" s="10" t="s">
        <v>309</v>
      </c>
      <c r="F798" s="10" t="s">
        <v>75</v>
      </c>
      <c r="G798" s="15">
        <v>4</v>
      </c>
      <c r="H798" s="11">
        <v>1612.4951999999998</v>
      </c>
      <c r="I798" s="12">
        <v>0</v>
      </c>
      <c r="J798" s="11">
        <v>6449.9807999999994</v>
      </c>
      <c r="K798" s="11">
        <v>1224.5121999999999</v>
      </c>
      <c r="L798" s="10" t="s">
        <v>23</v>
      </c>
      <c r="M798" s="5">
        <f t="shared" si="72"/>
        <v>2025</v>
      </c>
      <c r="N798" s="5">
        <f t="shared" si="73"/>
        <v>4</v>
      </c>
      <c r="O798" s="21">
        <f t="shared" si="74"/>
        <v>45748</v>
      </c>
      <c r="P798" s="13">
        <f t="shared" si="75"/>
        <v>0.18984741784037559</v>
      </c>
      <c r="Q798" s="5">
        <f t="shared" si="76"/>
        <v>202504</v>
      </c>
      <c r="R798" s="21">
        <f t="shared" si="77"/>
        <v>45748</v>
      </c>
    </row>
    <row r="799" spans="1:18" x14ac:dyDescent="0.25">
      <c r="A799" s="5" t="s">
        <v>1451</v>
      </c>
      <c r="B799" s="14">
        <v>45970</v>
      </c>
      <c r="C799" s="5" t="s">
        <v>1452</v>
      </c>
      <c r="D799" s="10" t="s">
        <v>37</v>
      </c>
      <c r="E799" s="10" t="s">
        <v>177</v>
      </c>
      <c r="F799" s="10" t="s">
        <v>49</v>
      </c>
      <c r="G799" s="15">
        <v>2</v>
      </c>
      <c r="H799" s="11">
        <v>5421.3526999999995</v>
      </c>
      <c r="I799" s="12">
        <v>0</v>
      </c>
      <c r="J799" s="11">
        <v>10842.705399999999</v>
      </c>
      <c r="K799" s="11">
        <v>5685.3703999999998</v>
      </c>
      <c r="L799" s="10" t="s">
        <v>17</v>
      </c>
      <c r="M799" s="5">
        <f t="shared" si="72"/>
        <v>2025</v>
      </c>
      <c r="N799" s="5">
        <f t="shared" si="73"/>
        <v>11</v>
      </c>
      <c r="O799" s="21">
        <f t="shared" si="74"/>
        <v>45962</v>
      </c>
      <c r="P799" s="13">
        <f t="shared" si="75"/>
        <v>0.52434979926688785</v>
      </c>
      <c r="Q799" s="5">
        <f t="shared" si="76"/>
        <v>202511</v>
      </c>
      <c r="R799" s="21">
        <f t="shared" si="77"/>
        <v>45962</v>
      </c>
    </row>
    <row r="800" spans="1:18" x14ac:dyDescent="0.25">
      <c r="A800" s="5" t="s">
        <v>1453</v>
      </c>
      <c r="B800" s="14">
        <v>45776</v>
      </c>
      <c r="C800" s="5" t="s">
        <v>911</v>
      </c>
      <c r="D800" s="10" t="s">
        <v>14</v>
      </c>
      <c r="E800" s="10" t="s">
        <v>43</v>
      </c>
      <c r="F800" s="10" t="s">
        <v>22</v>
      </c>
      <c r="G800" s="15">
        <v>2</v>
      </c>
      <c r="H800" s="11">
        <v>778.80489999999998</v>
      </c>
      <c r="I800" s="12">
        <v>0</v>
      </c>
      <c r="J800" s="11">
        <v>1557.6098</v>
      </c>
      <c r="K800" s="11">
        <v>967.11860000000001</v>
      </c>
      <c r="L800" s="10" t="s">
        <v>23</v>
      </c>
      <c r="M800" s="5">
        <f t="shared" si="72"/>
        <v>2025</v>
      </c>
      <c r="N800" s="5">
        <f t="shared" si="73"/>
        <v>4</v>
      </c>
      <c r="O800" s="21">
        <f t="shared" si="74"/>
        <v>45748</v>
      </c>
      <c r="P800" s="13">
        <f t="shared" si="75"/>
        <v>0.62089914945322</v>
      </c>
      <c r="Q800" s="5">
        <f t="shared" si="76"/>
        <v>202504</v>
      </c>
      <c r="R800" s="21">
        <f t="shared" si="77"/>
        <v>45748</v>
      </c>
    </row>
    <row r="801" spans="1:18" x14ac:dyDescent="0.25">
      <c r="A801" s="5" t="s">
        <v>1454</v>
      </c>
      <c r="B801" s="14">
        <v>45709</v>
      </c>
      <c r="C801" s="5" t="s">
        <v>1455</v>
      </c>
      <c r="D801" s="10" t="s">
        <v>42</v>
      </c>
      <c r="E801" s="10" t="s">
        <v>314</v>
      </c>
      <c r="F801" s="10" t="s">
        <v>16</v>
      </c>
      <c r="G801" s="15">
        <v>1</v>
      </c>
      <c r="H801" s="11">
        <v>2560.6877999999997</v>
      </c>
      <c r="I801" s="12">
        <v>15</v>
      </c>
      <c r="J801" s="11">
        <v>2176.4899999999998</v>
      </c>
      <c r="K801" s="11">
        <v>280.10480000000001</v>
      </c>
      <c r="L801" s="10" t="s">
        <v>17</v>
      </c>
      <c r="M801" s="5">
        <f t="shared" si="72"/>
        <v>2025</v>
      </c>
      <c r="N801" s="5">
        <f t="shared" si="73"/>
        <v>2</v>
      </c>
      <c r="O801" s="21">
        <f t="shared" si="74"/>
        <v>45689</v>
      </c>
      <c r="P801" s="13">
        <f t="shared" si="75"/>
        <v>0.12869565217391307</v>
      </c>
      <c r="Q801" s="5">
        <f t="shared" si="76"/>
        <v>202502</v>
      </c>
      <c r="R801" s="21">
        <f t="shared" si="77"/>
        <v>45689</v>
      </c>
    </row>
    <row r="802" spans="1:18" x14ac:dyDescent="0.25">
      <c r="A802" s="5" t="s">
        <v>1456</v>
      </c>
      <c r="B802" s="14">
        <v>45855</v>
      </c>
      <c r="C802" s="5" t="s">
        <v>1457</v>
      </c>
      <c r="D802" s="10" t="s">
        <v>26</v>
      </c>
      <c r="E802" s="10" t="s">
        <v>208</v>
      </c>
      <c r="F802" s="10" t="s">
        <v>22</v>
      </c>
      <c r="G802" s="15">
        <v>2</v>
      </c>
      <c r="H802" s="11">
        <v>1481.9058</v>
      </c>
      <c r="I802" s="12">
        <v>10</v>
      </c>
      <c r="J802" s="11">
        <v>2667.6197000000002</v>
      </c>
      <c r="K802" s="11">
        <v>1548.1468</v>
      </c>
      <c r="L802" s="10" t="s">
        <v>17</v>
      </c>
      <c r="M802" s="5">
        <f t="shared" si="72"/>
        <v>2025</v>
      </c>
      <c r="N802" s="5">
        <f t="shared" si="73"/>
        <v>7</v>
      </c>
      <c r="O802" s="21">
        <f t="shared" si="74"/>
        <v>45839</v>
      </c>
      <c r="P802" s="13">
        <f t="shared" si="75"/>
        <v>0.5803476410074494</v>
      </c>
      <c r="Q802" s="5">
        <f t="shared" si="76"/>
        <v>202507</v>
      </c>
      <c r="R802" s="21">
        <f t="shared" si="77"/>
        <v>45839</v>
      </c>
    </row>
    <row r="803" spans="1:18" x14ac:dyDescent="0.25">
      <c r="A803" s="5" t="s">
        <v>1458</v>
      </c>
      <c r="B803" s="14">
        <v>45734</v>
      </c>
      <c r="C803" s="5" t="s">
        <v>1459</v>
      </c>
      <c r="D803" s="10" t="s">
        <v>42</v>
      </c>
      <c r="E803" s="10" t="s">
        <v>151</v>
      </c>
      <c r="F803" s="10" t="s">
        <v>39</v>
      </c>
      <c r="G803" s="15">
        <v>2</v>
      </c>
      <c r="H803" s="11">
        <v>1916.2574999999999</v>
      </c>
      <c r="I803" s="12">
        <v>0</v>
      </c>
      <c r="J803" s="11">
        <v>3832.5149999999999</v>
      </c>
      <c r="K803" s="11">
        <v>1468.6576</v>
      </c>
      <c r="L803" s="10" t="s">
        <v>17</v>
      </c>
      <c r="M803" s="5">
        <f t="shared" si="72"/>
        <v>2025</v>
      </c>
      <c r="N803" s="5">
        <f t="shared" si="73"/>
        <v>3</v>
      </c>
      <c r="O803" s="21">
        <f t="shared" si="74"/>
        <v>45717</v>
      </c>
      <c r="P803" s="13">
        <f t="shared" si="75"/>
        <v>0.38320987654320987</v>
      </c>
      <c r="Q803" s="5">
        <f t="shared" si="76"/>
        <v>202503</v>
      </c>
      <c r="R803" s="21">
        <f t="shared" si="77"/>
        <v>45717</v>
      </c>
    </row>
    <row r="804" spans="1:18" x14ac:dyDescent="0.25">
      <c r="A804" s="5" t="s">
        <v>1460</v>
      </c>
      <c r="B804" s="14">
        <v>45532</v>
      </c>
      <c r="C804" s="5" t="s">
        <v>1461</v>
      </c>
      <c r="D804" s="10" t="s">
        <v>14</v>
      </c>
      <c r="E804" s="10" t="s">
        <v>253</v>
      </c>
      <c r="F804" s="10" t="s">
        <v>49</v>
      </c>
      <c r="G804" s="15">
        <v>4</v>
      </c>
      <c r="H804" s="11">
        <v>1578.4284</v>
      </c>
      <c r="I804" s="12">
        <v>0</v>
      </c>
      <c r="J804" s="11">
        <v>6313.7136</v>
      </c>
      <c r="K804" s="11">
        <v>3107.6492000000003</v>
      </c>
      <c r="L804" s="10" t="s">
        <v>23</v>
      </c>
      <c r="M804" s="5">
        <f t="shared" si="72"/>
        <v>2024</v>
      </c>
      <c r="N804" s="5">
        <f t="shared" si="73"/>
        <v>8</v>
      </c>
      <c r="O804" s="21">
        <f t="shared" si="74"/>
        <v>45505</v>
      </c>
      <c r="P804" s="13">
        <f t="shared" si="75"/>
        <v>0.49220623501199046</v>
      </c>
      <c r="Q804" s="5">
        <f t="shared" si="76"/>
        <v>202408</v>
      </c>
      <c r="R804" s="21">
        <f t="shared" si="77"/>
        <v>45505</v>
      </c>
    </row>
    <row r="805" spans="1:18" x14ac:dyDescent="0.25">
      <c r="A805" s="5" t="s">
        <v>1462</v>
      </c>
      <c r="B805" s="14">
        <v>45570</v>
      </c>
      <c r="C805" s="5" t="s">
        <v>754</v>
      </c>
      <c r="D805" s="10" t="s">
        <v>37</v>
      </c>
      <c r="E805" s="10" t="s">
        <v>246</v>
      </c>
      <c r="F805" s="10" t="s">
        <v>75</v>
      </c>
      <c r="G805" s="15">
        <v>2</v>
      </c>
      <c r="H805" s="11">
        <v>4300.9335000000001</v>
      </c>
      <c r="I805" s="12">
        <v>0</v>
      </c>
      <c r="J805" s="11">
        <v>8601.8670000000002</v>
      </c>
      <c r="K805" s="11">
        <v>2800.1016999999997</v>
      </c>
      <c r="L805" s="10" t="s">
        <v>17</v>
      </c>
      <c r="M805" s="5">
        <f t="shared" si="72"/>
        <v>2024</v>
      </c>
      <c r="N805" s="5">
        <f t="shared" si="73"/>
        <v>10</v>
      </c>
      <c r="O805" s="21">
        <f t="shared" si="74"/>
        <v>45566</v>
      </c>
      <c r="P805" s="13">
        <f t="shared" si="75"/>
        <v>0.32552255225522547</v>
      </c>
      <c r="Q805" s="5">
        <f t="shared" si="76"/>
        <v>202410</v>
      </c>
      <c r="R805" s="21">
        <f t="shared" si="77"/>
        <v>45566</v>
      </c>
    </row>
    <row r="806" spans="1:18" x14ac:dyDescent="0.25">
      <c r="A806" s="5" t="s">
        <v>1463</v>
      </c>
      <c r="B806" s="14">
        <v>45549</v>
      </c>
      <c r="C806" s="5" t="s">
        <v>1464</v>
      </c>
      <c r="D806" s="10" t="s">
        <v>20</v>
      </c>
      <c r="E806" s="10" t="s">
        <v>151</v>
      </c>
      <c r="F806" s="10" t="s">
        <v>39</v>
      </c>
      <c r="G806" s="15">
        <v>1</v>
      </c>
      <c r="H806" s="11">
        <v>2538.9228999999996</v>
      </c>
      <c r="I806" s="12">
        <v>10</v>
      </c>
      <c r="J806" s="11">
        <v>2285.3145</v>
      </c>
      <c r="K806" s="11">
        <v>471.25740000000002</v>
      </c>
      <c r="L806" s="10" t="s">
        <v>23</v>
      </c>
      <c r="M806" s="5">
        <f t="shared" si="72"/>
        <v>2024</v>
      </c>
      <c r="N806" s="5">
        <f t="shared" si="73"/>
        <v>9</v>
      </c>
      <c r="O806" s="21">
        <f t="shared" si="74"/>
        <v>45536</v>
      </c>
      <c r="P806" s="13">
        <f t="shared" si="75"/>
        <v>0.20621118012422363</v>
      </c>
      <c r="Q806" s="5">
        <f t="shared" si="76"/>
        <v>202409</v>
      </c>
      <c r="R806" s="21">
        <f t="shared" si="77"/>
        <v>45536</v>
      </c>
    </row>
    <row r="807" spans="1:18" x14ac:dyDescent="0.25">
      <c r="A807" s="5" t="s">
        <v>1465</v>
      </c>
      <c r="B807" s="14">
        <v>45573</v>
      </c>
      <c r="C807" s="5" t="s">
        <v>1466</v>
      </c>
      <c r="D807" s="10" t="s">
        <v>14</v>
      </c>
      <c r="E807" s="10" t="s">
        <v>48</v>
      </c>
      <c r="F807" s="10" t="s">
        <v>49</v>
      </c>
      <c r="G807" s="15">
        <v>1</v>
      </c>
      <c r="H807" s="11">
        <v>3978.2451999999998</v>
      </c>
      <c r="I807" s="12">
        <v>5</v>
      </c>
      <c r="J807" s="11">
        <v>3779.5221999999994</v>
      </c>
      <c r="K807" s="11">
        <v>2026.9746</v>
      </c>
      <c r="L807" s="10" t="s">
        <v>23</v>
      </c>
      <c r="M807" s="5">
        <f t="shared" si="72"/>
        <v>2024</v>
      </c>
      <c r="N807" s="5">
        <f t="shared" si="73"/>
        <v>10</v>
      </c>
      <c r="O807" s="21">
        <f t="shared" si="74"/>
        <v>45566</v>
      </c>
      <c r="P807" s="13">
        <f t="shared" si="75"/>
        <v>0.53630445668502758</v>
      </c>
      <c r="Q807" s="5">
        <f t="shared" si="76"/>
        <v>202410</v>
      </c>
      <c r="R807" s="21">
        <f t="shared" si="77"/>
        <v>45566</v>
      </c>
    </row>
    <row r="808" spans="1:18" x14ac:dyDescent="0.25">
      <c r="A808" s="5" t="s">
        <v>1467</v>
      </c>
      <c r="B808" s="14">
        <v>45515</v>
      </c>
      <c r="C808" s="5" t="s">
        <v>529</v>
      </c>
      <c r="D808" s="10" t="s">
        <v>20</v>
      </c>
      <c r="E808" s="10" t="s">
        <v>309</v>
      </c>
      <c r="F808" s="10" t="s">
        <v>75</v>
      </c>
      <c r="G808" s="15">
        <v>1</v>
      </c>
      <c r="H808" s="11">
        <v>1034.3058999999998</v>
      </c>
      <c r="I808" s="12">
        <v>10</v>
      </c>
      <c r="J808" s="11">
        <v>931.15919999999994</v>
      </c>
      <c r="K808" s="11">
        <v>319.8494</v>
      </c>
      <c r="L808" s="10" t="s">
        <v>23</v>
      </c>
      <c r="M808" s="5">
        <f t="shared" si="72"/>
        <v>2024</v>
      </c>
      <c r="N808" s="5">
        <f t="shared" si="73"/>
        <v>8</v>
      </c>
      <c r="O808" s="21">
        <f t="shared" si="74"/>
        <v>45505</v>
      </c>
      <c r="P808" s="13">
        <f t="shared" si="75"/>
        <v>0.3434959349593496</v>
      </c>
      <c r="Q808" s="5">
        <f t="shared" si="76"/>
        <v>202408</v>
      </c>
      <c r="R808" s="21">
        <f t="shared" si="77"/>
        <v>45505</v>
      </c>
    </row>
    <row r="809" spans="1:18" x14ac:dyDescent="0.25">
      <c r="A809" s="5" t="s">
        <v>1468</v>
      </c>
      <c r="B809" s="14">
        <v>45864</v>
      </c>
      <c r="C809" s="5" t="s">
        <v>547</v>
      </c>
      <c r="D809" s="10" t="s">
        <v>37</v>
      </c>
      <c r="E809" s="10" t="s">
        <v>148</v>
      </c>
      <c r="F809" s="10" t="s">
        <v>16</v>
      </c>
      <c r="G809" s="15">
        <v>1</v>
      </c>
      <c r="H809" s="11">
        <v>4865.8746000000001</v>
      </c>
      <c r="I809" s="12">
        <v>0</v>
      </c>
      <c r="J809" s="11">
        <v>4865.8746000000001</v>
      </c>
      <c r="K809" s="11">
        <v>1007.8095</v>
      </c>
      <c r="L809" s="10" t="s">
        <v>17</v>
      </c>
      <c r="M809" s="5">
        <f t="shared" si="72"/>
        <v>2025</v>
      </c>
      <c r="N809" s="5">
        <f t="shared" si="73"/>
        <v>7</v>
      </c>
      <c r="O809" s="21">
        <f t="shared" si="74"/>
        <v>45839</v>
      </c>
      <c r="P809" s="13">
        <f t="shared" si="75"/>
        <v>0.2071178529754959</v>
      </c>
      <c r="Q809" s="5">
        <f t="shared" si="76"/>
        <v>202507</v>
      </c>
      <c r="R809" s="21">
        <f t="shared" si="77"/>
        <v>45839</v>
      </c>
    </row>
    <row r="810" spans="1:18" x14ac:dyDescent="0.25">
      <c r="A810" s="5" t="s">
        <v>1469</v>
      </c>
      <c r="B810" s="14">
        <v>45733</v>
      </c>
      <c r="C810" s="5" t="s">
        <v>342</v>
      </c>
      <c r="D810" s="10" t="s">
        <v>42</v>
      </c>
      <c r="E810" s="10" t="s">
        <v>151</v>
      </c>
      <c r="F810" s="10" t="s">
        <v>39</v>
      </c>
      <c r="G810" s="15">
        <v>5</v>
      </c>
      <c r="H810" s="11">
        <v>2996.9321</v>
      </c>
      <c r="I810" s="12">
        <v>5</v>
      </c>
      <c r="J810" s="11">
        <v>14235.1909</v>
      </c>
      <c r="K810" s="11">
        <v>4766.5130999999992</v>
      </c>
      <c r="L810" s="10" t="s">
        <v>17</v>
      </c>
      <c r="M810" s="5">
        <f t="shared" si="72"/>
        <v>2025</v>
      </c>
      <c r="N810" s="5">
        <f t="shared" si="73"/>
        <v>3</v>
      </c>
      <c r="O810" s="21">
        <f t="shared" si="74"/>
        <v>45717</v>
      </c>
      <c r="P810" s="13">
        <f t="shared" si="75"/>
        <v>0.33484012497507143</v>
      </c>
      <c r="Q810" s="5">
        <f t="shared" si="76"/>
        <v>202503</v>
      </c>
      <c r="R810" s="21">
        <f t="shared" si="77"/>
        <v>45717</v>
      </c>
    </row>
    <row r="811" spans="1:18" x14ac:dyDescent="0.25">
      <c r="A811" s="5" t="s">
        <v>1470</v>
      </c>
      <c r="B811" s="14">
        <v>45950</v>
      </c>
      <c r="C811" s="5" t="s">
        <v>102</v>
      </c>
      <c r="D811" s="10" t="s">
        <v>20</v>
      </c>
      <c r="E811" s="10" t="s">
        <v>154</v>
      </c>
      <c r="F811" s="10" t="s">
        <v>39</v>
      </c>
      <c r="G811" s="15">
        <v>1</v>
      </c>
      <c r="H811" s="11">
        <v>7497.5348999999997</v>
      </c>
      <c r="I811" s="12">
        <v>0</v>
      </c>
      <c r="J811" s="11">
        <v>7497.5348999999997</v>
      </c>
      <c r="K811" s="11">
        <v>2544.6007</v>
      </c>
      <c r="L811" s="10" t="s">
        <v>17</v>
      </c>
      <c r="M811" s="5">
        <f t="shared" si="72"/>
        <v>2025</v>
      </c>
      <c r="N811" s="5">
        <f t="shared" si="73"/>
        <v>10</v>
      </c>
      <c r="O811" s="21">
        <f t="shared" si="74"/>
        <v>45931</v>
      </c>
      <c r="P811" s="13">
        <f t="shared" si="75"/>
        <v>0.33939164457907361</v>
      </c>
      <c r="Q811" s="5">
        <f t="shared" si="76"/>
        <v>202510</v>
      </c>
      <c r="R811" s="21">
        <f t="shared" si="77"/>
        <v>45931</v>
      </c>
    </row>
    <row r="812" spans="1:18" x14ac:dyDescent="0.25">
      <c r="A812" s="5" t="s">
        <v>1471</v>
      </c>
      <c r="B812" s="14">
        <v>45316</v>
      </c>
      <c r="C812" s="5" t="s">
        <v>539</v>
      </c>
      <c r="D812" s="10" t="s">
        <v>26</v>
      </c>
      <c r="E812" s="10" t="s">
        <v>111</v>
      </c>
      <c r="F812" s="10" t="s">
        <v>49</v>
      </c>
      <c r="G812" s="15">
        <v>1</v>
      </c>
      <c r="H812" s="11">
        <v>7212.6985999999997</v>
      </c>
      <c r="I812" s="12">
        <v>0</v>
      </c>
      <c r="J812" s="11">
        <v>7212.6985999999997</v>
      </c>
      <c r="K812" s="11">
        <v>2613.6806000000001</v>
      </c>
      <c r="L812" s="10" t="s">
        <v>23</v>
      </c>
      <c r="M812" s="5">
        <f t="shared" si="72"/>
        <v>2024</v>
      </c>
      <c r="N812" s="5">
        <f t="shared" si="73"/>
        <v>1</v>
      </c>
      <c r="O812" s="21">
        <f t="shared" si="74"/>
        <v>45292</v>
      </c>
      <c r="P812" s="13">
        <f t="shared" si="75"/>
        <v>0.36237208081868277</v>
      </c>
      <c r="Q812" s="5">
        <f t="shared" si="76"/>
        <v>202401</v>
      </c>
      <c r="R812" s="21">
        <f t="shared" si="77"/>
        <v>45292</v>
      </c>
    </row>
    <row r="813" spans="1:18" x14ac:dyDescent="0.25">
      <c r="A813" s="5" t="s">
        <v>1472</v>
      </c>
      <c r="B813" s="14">
        <v>45559</v>
      </c>
      <c r="C813" s="5" t="s">
        <v>1473</v>
      </c>
      <c r="D813" s="10" t="s">
        <v>20</v>
      </c>
      <c r="E813" s="10" t="s">
        <v>43</v>
      </c>
      <c r="F813" s="10" t="s">
        <v>22</v>
      </c>
      <c r="G813" s="15">
        <v>1</v>
      </c>
      <c r="H813" s="11">
        <v>4554.5419000000002</v>
      </c>
      <c r="I813" s="12">
        <v>25</v>
      </c>
      <c r="J813" s="11">
        <v>3416.143</v>
      </c>
      <c r="K813" s="11">
        <v>1408.0944</v>
      </c>
      <c r="L813" s="10" t="s">
        <v>17</v>
      </c>
      <c r="M813" s="5">
        <f t="shared" si="72"/>
        <v>2024</v>
      </c>
      <c r="N813" s="5">
        <f t="shared" si="73"/>
        <v>9</v>
      </c>
      <c r="O813" s="21">
        <f t="shared" si="74"/>
        <v>45536</v>
      </c>
      <c r="P813" s="13">
        <f t="shared" si="75"/>
        <v>0.4121883656509695</v>
      </c>
      <c r="Q813" s="5">
        <f t="shared" si="76"/>
        <v>202409</v>
      </c>
      <c r="R813" s="21">
        <f t="shared" si="77"/>
        <v>45536</v>
      </c>
    </row>
    <row r="814" spans="1:18" x14ac:dyDescent="0.25">
      <c r="A814" s="5" t="s">
        <v>1474</v>
      </c>
      <c r="B814" s="14">
        <v>45801</v>
      </c>
      <c r="C814" s="5" t="s">
        <v>330</v>
      </c>
      <c r="D814" s="10" t="s">
        <v>37</v>
      </c>
      <c r="E814" s="10" t="s">
        <v>33</v>
      </c>
      <c r="F814" s="10" t="s">
        <v>16</v>
      </c>
      <c r="G814" s="15">
        <v>4</v>
      </c>
      <c r="H814" s="11">
        <v>10755.645799999998</v>
      </c>
      <c r="I814" s="12">
        <v>15</v>
      </c>
      <c r="J814" s="11">
        <v>36568.817199999998</v>
      </c>
      <c r="K814" s="11">
        <v>5406.2119000000002</v>
      </c>
      <c r="L814" s="10" t="s">
        <v>17</v>
      </c>
      <c r="M814" s="5">
        <f t="shared" si="72"/>
        <v>2025</v>
      </c>
      <c r="N814" s="5">
        <f t="shared" si="73"/>
        <v>5</v>
      </c>
      <c r="O814" s="21">
        <f t="shared" si="74"/>
        <v>45778</v>
      </c>
      <c r="P814" s="13">
        <f t="shared" si="75"/>
        <v>0.1478366628713384</v>
      </c>
      <c r="Q814" s="5">
        <f t="shared" si="76"/>
        <v>202505</v>
      </c>
      <c r="R814" s="21">
        <f t="shared" si="77"/>
        <v>45778</v>
      </c>
    </row>
    <row r="815" spans="1:18" x14ac:dyDescent="0.25">
      <c r="A815" s="5" t="s">
        <v>1475</v>
      </c>
      <c r="B815" s="14">
        <v>45542</v>
      </c>
      <c r="C815" s="5" t="s">
        <v>1476</v>
      </c>
      <c r="D815" s="10" t="s">
        <v>42</v>
      </c>
      <c r="E815" s="10" t="s">
        <v>108</v>
      </c>
      <c r="F815" s="10" t="s">
        <v>75</v>
      </c>
      <c r="G815" s="15">
        <v>3</v>
      </c>
      <c r="H815" s="11">
        <v>4376.6374999999998</v>
      </c>
      <c r="I815" s="12">
        <v>15</v>
      </c>
      <c r="J815" s="11">
        <v>11160.662199999999</v>
      </c>
      <c r="K815" s="11">
        <v>2451.8633</v>
      </c>
      <c r="L815" s="10" t="s">
        <v>17</v>
      </c>
      <c r="M815" s="5">
        <f t="shared" si="72"/>
        <v>2024</v>
      </c>
      <c r="N815" s="5">
        <f t="shared" si="73"/>
        <v>9</v>
      </c>
      <c r="O815" s="21">
        <f t="shared" si="74"/>
        <v>45536</v>
      </c>
      <c r="P815" s="13">
        <f t="shared" si="75"/>
        <v>0.21968797693742584</v>
      </c>
      <c r="Q815" s="5">
        <f t="shared" si="76"/>
        <v>202409</v>
      </c>
      <c r="R815" s="21">
        <f t="shared" si="77"/>
        <v>45536</v>
      </c>
    </row>
    <row r="816" spans="1:18" x14ac:dyDescent="0.25">
      <c r="A816" s="5" t="s">
        <v>1477</v>
      </c>
      <c r="B816" s="14">
        <v>45470</v>
      </c>
      <c r="C816" s="5" t="s">
        <v>1478</v>
      </c>
      <c r="D816" s="10" t="s">
        <v>42</v>
      </c>
      <c r="E816" s="10" t="s">
        <v>27</v>
      </c>
      <c r="F816" s="10" t="s">
        <v>22</v>
      </c>
      <c r="G816" s="15">
        <v>1</v>
      </c>
      <c r="H816" s="11">
        <v>3863.7428999999997</v>
      </c>
      <c r="I816" s="12">
        <v>10</v>
      </c>
      <c r="J816" s="11">
        <v>3477.6524999999997</v>
      </c>
      <c r="K816" s="11">
        <v>1971.1428999999998</v>
      </c>
      <c r="L816" s="10" t="s">
        <v>17</v>
      </c>
      <c r="M816" s="5">
        <f t="shared" si="72"/>
        <v>2024</v>
      </c>
      <c r="N816" s="5">
        <f t="shared" si="73"/>
        <v>6</v>
      </c>
      <c r="O816" s="21">
        <f t="shared" si="74"/>
        <v>45444</v>
      </c>
      <c r="P816" s="13">
        <f t="shared" si="75"/>
        <v>0.56680272108843532</v>
      </c>
      <c r="Q816" s="5">
        <f t="shared" si="76"/>
        <v>202406</v>
      </c>
      <c r="R816" s="21">
        <f t="shared" si="77"/>
        <v>45444</v>
      </c>
    </row>
    <row r="817" spans="1:18" x14ac:dyDescent="0.25">
      <c r="A817" s="5" t="s">
        <v>1479</v>
      </c>
      <c r="B817" s="14">
        <v>45802</v>
      </c>
      <c r="C817" s="5" t="s">
        <v>577</v>
      </c>
      <c r="D817" s="10" t="s">
        <v>14</v>
      </c>
      <c r="E817" s="10" t="s">
        <v>61</v>
      </c>
      <c r="F817" s="10" t="s">
        <v>39</v>
      </c>
      <c r="G817" s="15">
        <v>1</v>
      </c>
      <c r="H817" s="11">
        <v>2379.9444999999996</v>
      </c>
      <c r="I817" s="12">
        <v>5</v>
      </c>
      <c r="J817" s="11">
        <v>2260.7107000000001</v>
      </c>
      <c r="K817" s="11">
        <v>886.68309999999985</v>
      </c>
      <c r="L817" s="10" t="s">
        <v>17</v>
      </c>
      <c r="M817" s="5">
        <f t="shared" si="72"/>
        <v>2025</v>
      </c>
      <c r="N817" s="5">
        <f t="shared" si="73"/>
        <v>5</v>
      </c>
      <c r="O817" s="21">
        <f t="shared" si="74"/>
        <v>45778</v>
      </c>
      <c r="P817" s="13">
        <f t="shared" si="75"/>
        <v>0.39221431561322723</v>
      </c>
      <c r="Q817" s="5">
        <f t="shared" si="76"/>
        <v>202505</v>
      </c>
      <c r="R817" s="21">
        <f t="shared" si="77"/>
        <v>45778</v>
      </c>
    </row>
    <row r="818" spans="1:18" x14ac:dyDescent="0.25">
      <c r="A818" s="5" t="s">
        <v>1480</v>
      </c>
      <c r="B818" s="14">
        <v>45948</v>
      </c>
      <c r="C818" s="5" t="s">
        <v>1481</v>
      </c>
      <c r="D818" s="10" t="s">
        <v>20</v>
      </c>
      <c r="E818" s="10" t="s">
        <v>118</v>
      </c>
      <c r="F818" s="10" t="s">
        <v>49</v>
      </c>
      <c r="G818" s="15">
        <v>3</v>
      </c>
      <c r="H818" s="11">
        <v>7644.2114000000001</v>
      </c>
      <c r="I818" s="12">
        <v>0</v>
      </c>
      <c r="J818" s="11">
        <v>22932.6342</v>
      </c>
      <c r="K818" s="11">
        <v>9328.625399999999</v>
      </c>
      <c r="L818" s="10" t="s">
        <v>17</v>
      </c>
      <c r="M818" s="5">
        <f t="shared" si="72"/>
        <v>2025</v>
      </c>
      <c r="N818" s="5">
        <f t="shared" si="73"/>
        <v>10</v>
      </c>
      <c r="O818" s="21">
        <f t="shared" si="74"/>
        <v>45931</v>
      </c>
      <c r="P818" s="13">
        <f t="shared" si="75"/>
        <v>0.40678385739044315</v>
      </c>
      <c r="Q818" s="5">
        <f t="shared" si="76"/>
        <v>202510</v>
      </c>
      <c r="R818" s="21">
        <f t="shared" si="77"/>
        <v>45931</v>
      </c>
    </row>
    <row r="819" spans="1:18" x14ac:dyDescent="0.25">
      <c r="A819" s="5" t="s">
        <v>1482</v>
      </c>
      <c r="B819" s="14">
        <v>45499</v>
      </c>
      <c r="C819" s="5" t="s">
        <v>822</v>
      </c>
      <c r="D819" s="10" t="s">
        <v>26</v>
      </c>
      <c r="E819" s="10" t="s">
        <v>324</v>
      </c>
      <c r="F819" s="10" t="s">
        <v>16</v>
      </c>
      <c r="G819" s="15">
        <v>3</v>
      </c>
      <c r="H819" s="11">
        <v>12220.518199999999</v>
      </c>
      <c r="I819" s="12">
        <v>10</v>
      </c>
      <c r="J819" s="11">
        <v>32995.588400000001</v>
      </c>
      <c r="K819" s="11">
        <v>4921.7062999999998</v>
      </c>
      <c r="L819" s="10" t="s">
        <v>17</v>
      </c>
      <c r="M819" s="5">
        <f t="shared" si="72"/>
        <v>2024</v>
      </c>
      <c r="N819" s="5">
        <f t="shared" si="73"/>
        <v>7</v>
      </c>
      <c r="O819" s="21">
        <f t="shared" si="74"/>
        <v>45474</v>
      </c>
      <c r="P819" s="13">
        <f t="shared" si="75"/>
        <v>0.14916255592520361</v>
      </c>
      <c r="Q819" s="5">
        <f t="shared" si="76"/>
        <v>202407</v>
      </c>
      <c r="R819" s="21">
        <f t="shared" si="77"/>
        <v>45474</v>
      </c>
    </row>
    <row r="820" spans="1:18" x14ac:dyDescent="0.25">
      <c r="A820" s="5" t="s">
        <v>1483</v>
      </c>
      <c r="B820" s="14">
        <v>45776</v>
      </c>
      <c r="C820" s="5" t="s">
        <v>1473</v>
      </c>
      <c r="D820" s="10" t="s">
        <v>20</v>
      </c>
      <c r="E820" s="10" t="s">
        <v>246</v>
      </c>
      <c r="F820" s="10" t="s">
        <v>75</v>
      </c>
      <c r="G820" s="15">
        <v>1</v>
      </c>
      <c r="H820" s="11">
        <v>3169.1587</v>
      </c>
      <c r="I820" s="12">
        <v>15</v>
      </c>
      <c r="J820" s="11">
        <v>2694.1160999999997</v>
      </c>
      <c r="K820" s="11">
        <v>670.92669999999998</v>
      </c>
      <c r="L820" s="10" t="s">
        <v>17</v>
      </c>
      <c r="M820" s="5">
        <f t="shared" si="72"/>
        <v>2025</v>
      </c>
      <c r="N820" s="5">
        <f t="shared" si="73"/>
        <v>4</v>
      </c>
      <c r="O820" s="21">
        <f t="shared" si="74"/>
        <v>45748</v>
      </c>
      <c r="P820" s="13">
        <f t="shared" si="75"/>
        <v>0.24903407095187918</v>
      </c>
      <c r="Q820" s="5">
        <f t="shared" si="76"/>
        <v>202504</v>
      </c>
      <c r="R820" s="21">
        <f t="shared" si="77"/>
        <v>45748</v>
      </c>
    </row>
    <row r="821" spans="1:18" x14ac:dyDescent="0.25">
      <c r="A821" s="5" t="s">
        <v>1484</v>
      </c>
      <c r="B821" s="14">
        <v>45401</v>
      </c>
      <c r="C821" s="5" t="s">
        <v>1485</v>
      </c>
      <c r="D821" s="10" t="s">
        <v>26</v>
      </c>
      <c r="E821" s="10" t="s">
        <v>151</v>
      </c>
      <c r="F821" s="10" t="s">
        <v>39</v>
      </c>
      <c r="G821" s="15">
        <v>1</v>
      </c>
      <c r="H821" s="11">
        <v>1439.3223</v>
      </c>
      <c r="I821" s="12">
        <v>10</v>
      </c>
      <c r="J821" s="11">
        <v>1295.4847</v>
      </c>
      <c r="K821" s="11">
        <v>489.2371</v>
      </c>
      <c r="L821" s="10" t="s">
        <v>23</v>
      </c>
      <c r="M821" s="5">
        <f t="shared" si="72"/>
        <v>2024</v>
      </c>
      <c r="N821" s="5">
        <f t="shared" si="73"/>
        <v>4</v>
      </c>
      <c r="O821" s="21">
        <f t="shared" si="74"/>
        <v>45383</v>
      </c>
      <c r="P821" s="13">
        <f t="shared" si="75"/>
        <v>0.37764791818845872</v>
      </c>
      <c r="Q821" s="5">
        <f t="shared" si="76"/>
        <v>202404</v>
      </c>
      <c r="R821" s="21">
        <f t="shared" si="77"/>
        <v>45383</v>
      </c>
    </row>
    <row r="822" spans="1:18" x14ac:dyDescent="0.25">
      <c r="A822" s="5" t="s">
        <v>1486</v>
      </c>
      <c r="B822" s="14">
        <v>45791</v>
      </c>
      <c r="C822" s="5" t="s">
        <v>1487</v>
      </c>
      <c r="D822" s="10" t="s">
        <v>20</v>
      </c>
      <c r="E822" s="10" t="s">
        <v>502</v>
      </c>
      <c r="F822" s="10" t="s">
        <v>22</v>
      </c>
      <c r="G822" s="15">
        <v>1</v>
      </c>
      <c r="H822" s="11">
        <v>2883.3761</v>
      </c>
      <c r="I822" s="12">
        <v>10</v>
      </c>
      <c r="J822" s="11">
        <v>2594.7546000000002</v>
      </c>
      <c r="K822" s="11">
        <v>1197.0695000000001</v>
      </c>
      <c r="L822" s="10" t="s">
        <v>23</v>
      </c>
      <c r="M822" s="5">
        <f t="shared" si="72"/>
        <v>2025</v>
      </c>
      <c r="N822" s="5">
        <f t="shared" si="73"/>
        <v>5</v>
      </c>
      <c r="O822" s="21">
        <f t="shared" si="74"/>
        <v>45778</v>
      </c>
      <c r="P822" s="13">
        <f t="shared" si="75"/>
        <v>0.46134208606856308</v>
      </c>
      <c r="Q822" s="5">
        <f t="shared" si="76"/>
        <v>202505</v>
      </c>
      <c r="R822" s="21">
        <f t="shared" si="77"/>
        <v>45778</v>
      </c>
    </row>
    <row r="823" spans="1:18" x14ac:dyDescent="0.25">
      <c r="A823" s="5" t="s">
        <v>1488</v>
      </c>
      <c r="B823" s="14">
        <v>45629</v>
      </c>
      <c r="C823" s="5" t="s">
        <v>732</v>
      </c>
      <c r="D823" s="10" t="s">
        <v>14</v>
      </c>
      <c r="E823" s="10" t="s">
        <v>111</v>
      </c>
      <c r="F823" s="10" t="s">
        <v>49</v>
      </c>
      <c r="G823" s="15">
        <v>2</v>
      </c>
      <c r="H823" s="11">
        <v>1977.7669999999998</v>
      </c>
      <c r="I823" s="12">
        <v>5</v>
      </c>
      <c r="J823" s="11">
        <v>3757.7572999999998</v>
      </c>
      <c r="K823" s="11">
        <v>1819.7348999999999</v>
      </c>
      <c r="L823" s="10" t="s">
        <v>23</v>
      </c>
      <c r="M823" s="5">
        <f t="shared" si="72"/>
        <v>2024</v>
      </c>
      <c r="N823" s="5">
        <f t="shared" si="73"/>
        <v>12</v>
      </c>
      <c r="O823" s="21">
        <f t="shared" si="74"/>
        <v>45627</v>
      </c>
      <c r="P823" s="13">
        <f t="shared" si="75"/>
        <v>0.48426089146310752</v>
      </c>
      <c r="Q823" s="5">
        <f t="shared" si="76"/>
        <v>202412</v>
      </c>
      <c r="R823" s="21">
        <f t="shared" si="77"/>
        <v>45627</v>
      </c>
    </row>
    <row r="824" spans="1:18" x14ac:dyDescent="0.25">
      <c r="A824" s="5" t="s">
        <v>1489</v>
      </c>
      <c r="B824" s="14">
        <v>45643</v>
      </c>
      <c r="C824" s="5" t="s">
        <v>1141</v>
      </c>
      <c r="D824" s="10" t="s">
        <v>20</v>
      </c>
      <c r="E824" s="10" t="s">
        <v>154</v>
      </c>
      <c r="F824" s="10" t="s">
        <v>39</v>
      </c>
      <c r="G824" s="15">
        <v>1</v>
      </c>
      <c r="H824" s="11">
        <v>1622.9044999999999</v>
      </c>
      <c r="I824" s="12">
        <v>15</v>
      </c>
      <c r="J824" s="11">
        <v>1379.7053999999998</v>
      </c>
      <c r="K824" s="11">
        <v>326.4735</v>
      </c>
      <c r="L824" s="10" t="s">
        <v>23</v>
      </c>
      <c r="M824" s="5">
        <f t="shared" si="72"/>
        <v>2024</v>
      </c>
      <c r="N824" s="5">
        <f t="shared" si="73"/>
        <v>12</v>
      </c>
      <c r="O824" s="21">
        <f t="shared" si="74"/>
        <v>45627</v>
      </c>
      <c r="P824" s="13">
        <f t="shared" si="75"/>
        <v>0.23662551440329221</v>
      </c>
      <c r="Q824" s="5">
        <f t="shared" si="76"/>
        <v>202412</v>
      </c>
      <c r="R824" s="21">
        <f t="shared" si="77"/>
        <v>45627</v>
      </c>
    </row>
    <row r="825" spans="1:18" x14ac:dyDescent="0.25">
      <c r="A825" s="5" t="s">
        <v>1490</v>
      </c>
      <c r="B825" s="14">
        <v>45791</v>
      </c>
      <c r="C825" s="5" t="s">
        <v>1032</v>
      </c>
      <c r="D825" s="10" t="s">
        <v>26</v>
      </c>
      <c r="E825" s="10" t="s">
        <v>211</v>
      </c>
      <c r="F825" s="10" t="s">
        <v>39</v>
      </c>
      <c r="G825" s="15">
        <v>1</v>
      </c>
      <c r="H825" s="11">
        <v>3935.6617000000001</v>
      </c>
      <c r="I825" s="12">
        <v>10</v>
      </c>
      <c r="J825" s="11">
        <v>3542.0009</v>
      </c>
      <c r="K825" s="11">
        <v>838.42179999999996</v>
      </c>
      <c r="L825" s="10" t="s">
        <v>34</v>
      </c>
      <c r="M825" s="5">
        <f t="shared" si="72"/>
        <v>2025</v>
      </c>
      <c r="N825" s="5">
        <f t="shared" si="73"/>
        <v>5</v>
      </c>
      <c r="O825" s="21">
        <f t="shared" si="74"/>
        <v>45778</v>
      </c>
      <c r="P825" s="13">
        <f t="shared" si="75"/>
        <v>0.2367085225754742</v>
      </c>
      <c r="Q825" s="5">
        <f t="shared" si="76"/>
        <v>202505</v>
      </c>
      <c r="R825" s="21">
        <f t="shared" si="77"/>
        <v>45778</v>
      </c>
    </row>
    <row r="826" spans="1:18" x14ac:dyDescent="0.25">
      <c r="A826" s="5" t="s">
        <v>1491</v>
      </c>
      <c r="B826" s="14">
        <v>45345</v>
      </c>
      <c r="C826" s="5" t="s">
        <v>1492</v>
      </c>
      <c r="D826" s="10" t="s">
        <v>37</v>
      </c>
      <c r="E826" s="10" t="s">
        <v>61</v>
      </c>
      <c r="F826" s="10" t="s">
        <v>39</v>
      </c>
      <c r="G826" s="15">
        <v>2</v>
      </c>
      <c r="H826" s="11">
        <v>5024.8530000000001</v>
      </c>
      <c r="I826" s="12">
        <v>15</v>
      </c>
      <c r="J826" s="11">
        <v>8542.2500999999993</v>
      </c>
      <c r="K826" s="11">
        <v>2149.9935999999998</v>
      </c>
      <c r="L826" s="10" t="s">
        <v>17</v>
      </c>
      <c r="M826" s="5">
        <f t="shared" si="72"/>
        <v>2024</v>
      </c>
      <c r="N826" s="5">
        <f t="shared" si="73"/>
        <v>2</v>
      </c>
      <c r="O826" s="21">
        <f t="shared" si="74"/>
        <v>45323</v>
      </c>
      <c r="P826" s="13">
        <f t="shared" si="75"/>
        <v>0.25168937631549793</v>
      </c>
      <c r="Q826" s="5">
        <f t="shared" si="76"/>
        <v>202402</v>
      </c>
      <c r="R826" s="21">
        <f t="shared" si="77"/>
        <v>45323</v>
      </c>
    </row>
    <row r="827" spans="1:18" x14ac:dyDescent="0.25">
      <c r="A827" s="5" t="s">
        <v>1493</v>
      </c>
      <c r="B827" s="14">
        <v>45336</v>
      </c>
      <c r="C827" s="5" t="s">
        <v>1494</v>
      </c>
      <c r="D827" s="10" t="s">
        <v>20</v>
      </c>
      <c r="E827" s="10" t="s">
        <v>460</v>
      </c>
      <c r="F827" s="10" t="s">
        <v>75</v>
      </c>
      <c r="G827" s="15">
        <v>1</v>
      </c>
      <c r="H827" s="11">
        <v>2943.9393</v>
      </c>
      <c r="I827" s="12">
        <v>0</v>
      </c>
      <c r="J827" s="11">
        <v>2943.9393</v>
      </c>
      <c r="K827" s="11">
        <v>563.04849999999999</v>
      </c>
      <c r="L827" s="10" t="s">
        <v>23</v>
      </c>
      <c r="M827" s="5">
        <f t="shared" si="72"/>
        <v>2024</v>
      </c>
      <c r="N827" s="5">
        <f t="shared" si="73"/>
        <v>2</v>
      </c>
      <c r="O827" s="21">
        <f t="shared" si="74"/>
        <v>45323</v>
      </c>
      <c r="P827" s="13">
        <f t="shared" si="75"/>
        <v>0.19125683060109289</v>
      </c>
      <c r="Q827" s="5">
        <f t="shared" si="76"/>
        <v>202402</v>
      </c>
      <c r="R827" s="21">
        <f t="shared" si="77"/>
        <v>45323</v>
      </c>
    </row>
    <row r="828" spans="1:18" x14ac:dyDescent="0.25">
      <c r="A828" s="5" t="s">
        <v>1495</v>
      </c>
      <c r="B828" s="14">
        <v>45410</v>
      </c>
      <c r="C828" s="5" t="s">
        <v>1085</v>
      </c>
      <c r="D828" s="10" t="s">
        <v>42</v>
      </c>
      <c r="E828" s="10" t="s">
        <v>222</v>
      </c>
      <c r="F828" s="10" t="s">
        <v>22</v>
      </c>
      <c r="G828" s="15">
        <v>1</v>
      </c>
      <c r="H828" s="11">
        <v>2340.1999000000001</v>
      </c>
      <c r="I828" s="12">
        <v>15</v>
      </c>
      <c r="J828" s="11">
        <v>1989.1225999999999</v>
      </c>
      <c r="K828" s="11">
        <v>1195.1768999999999</v>
      </c>
      <c r="L828" s="10" t="s">
        <v>23</v>
      </c>
      <c r="M828" s="5">
        <f t="shared" si="72"/>
        <v>2024</v>
      </c>
      <c r="N828" s="5">
        <f t="shared" si="73"/>
        <v>4</v>
      </c>
      <c r="O828" s="21">
        <f t="shared" si="74"/>
        <v>45383</v>
      </c>
      <c r="P828" s="13">
        <f t="shared" si="75"/>
        <v>0.6008563273073263</v>
      </c>
      <c r="Q828" s="5">
        <f t="shared" si="76"/>
        <v>202404</v>
      </c>
      <c r="R828" s="21">
        <f t="shared" si="77"/>
        <v>45383</v>
      </c>
    </row>
    <row r="829" spans="1:18" x14ac:dyDescent="0.25">
      <c r="A829" s="5" t="s">
        <v>1496</v>
      </c>
      <c r="B829" s="14">
        <v>45916</v>
      </c>
      <c r="C829" s="5" t="s">
        <v>618</v>
      </c>
      <c r="D829" s="10" t="s">
        <v>37</v>
      </c>
      <c r="E829" s="10" t="s">
        <v>286</v>
      </c>
      <c r="F829" s="10" t="s">
        <v>39</v>
      </c>
      <c r="G829" s="15">
        <v>1</v>
      </c>
      <c r="H829" s="11">
        <v>7545.7961999999989</v>
      </c>
      <c r="I829" s="12">
        <v>0</v>
      </c>
      <c r="J829" s="11">
        <v>7545.7961999999989</v>
      </c>
      <c r="K829" s="11">
        <v>2857.826</v>
      </c>
      <c r="L829" s="10" t="s">
        <v>34</v>
      </c>
      <c r="M829" s="5">
        <f t="shared" si="72"/>
        <v>2025</v>
      </c>
      <c r="N829" s="5">
        <f t="shared" si="73"/>
        <v>9</v>
      </c>
      <c r="O829" s="21">
        <f t="shared" si="74"/>
        <v>45901</v>
      </c>
      <c r="P829" s="13">
        <f t="shared" si="75"/>
        <v>0.37873087534487088</v>
      </c>
      <c r="Q829" s="5">
        <f t="shared" si="76"/>
        <v>202509</v>
      </c>
      <c r="R829" s="21">
        <f t="shared" si="77"/>
        <v>45901</v>
      </c>
    </row>
    <row r="830" spans="1:18" x14ac:dyDescent="0.25">
      <c r="A830" s="5" t="s">
        <v>1497</v>
      </c>
      <c r="B830" s="14">
        <v>45889</v>
      </c>
      <c r="C830" s="5" t="s">
        <v>1498</v>
      </c>
      <c r="D830" s="10" t="s">
        <v>42</v>
      </c>
      <c r="E830" s="10" t="s">
        <v>314</v>
      </c>
      <c r="F830" s="10" t="s">
        <v>16</v>
      </c>
      <c r="G830" s="15">
        <v>2</v>
      </c>
      <c r="H830" s="11">
        <v>7354.6435999999994</v>
      </c>
      <c r="I830" s="12">
        <v>0</v>
      </c>
      <c r="J830" s="11">
        <v>14709.287199999999</v>
      </c>
      <c r="K830" s="11">
        <v>1435.5371</v>
      </c>
      <c r="L830" s="10" t="s">
        <v>23</v>
      </c>
      <c r="M830" s="5">
        <f t="shared" si="72"/>
        <v>2025</v>
      </c>
      <c r="N830" s="5">
        <f t="shared" si="73"/>
        <v>8</v>
      </c>
      <c r="O830" s="21">
        <f t="shared" si="74"/>
        <v>45870</v>
      </c>
      <c r="P830" s="13">
        <f t="shared" si="75"/>
        <v>9.759392691713846E-2</v>
      </c>
      <c r="Q830" s="5">
        <f t="shared" si="76"/>
        <v>202508</v>
      </c>
      <c r="R830" s="21">
        <f t="shared" si="77"/>
        <v>45870</v>
      </c>
    </row>
    <row r="831" spans="1:18" x14ac:dyDescent="0.25">
      <c r="A831" s="5" t="s">
        <v>1499</v>
      </c>
      <c r="B831" s="14">
        <v>45343</v>
      </c>
      <c r="C831" s="5" t="s">
        <v>87</v>
      </c>
      <c r="D831" s="10" t="s">
        <v>26</v>
      </c>
      <c r="E831" s="10" t="s">
        <v>309</v>
      </c>
      <c r="F831" s="10" t="s">
        <v>75</v>
      </c>
      <c r="G831" s="15">
        <v>1</v>
      </c>
      <c r="H831" s="11">
        <v>3451.1560999999997</v>
      </c>
      <c r="I831" s="12">
        <v>0</v>
      </c>
      <c r="J831" s="11">
        <v>3451.1560999999997</v>
      </c>
      <c r="K831" s="11">
        <v>951.9778</v>
      </c>
      <c r="L831" s="10" t="s">
        <v>17</v>
      </c>
      <c r="M831" s="5">
        <f t="shared" si="72"/>
        <v>2024</v>
      </c>
      <c r="N831" s="5">
        <f t="shared" si="73"/>
        <v>2</v>
      </c>
      <c r="O831" s="21">
        <f t="shared" si="74"/>
        <v>45323</v>
      </c>
      <c r="P831" s="13">
        <f t="shared" si="75"/>
        <v>0.27584315876062521</v>
      </c>
      <c r="Q831" s="5">
        <f t="shared" si="76"/>
        <v>202402</v>
      </c>
      <c r="R831" s="21">
        <f t="shared" si="77"/>
        <v>45323</v>
      </c>
    </row>
    <row r="832" spans="1:18" x14ac:dyDescent="0.25">
      <c r="A832" s="5" t="s">
        <v>1500</v>
      </c>
      <c r="B832" s="14">
        <v>45639</v>
      </c>
      <c r="C832" s="5" t="s">
        <v>79</v>
      </c>
      <c r="D832" s="10" t="s">
        <v>14</v>
      </c>
      <c r="E832" s="10" t="s">
        <v>460</v>
      </c>
      <c r="F832" s="10" t="s">
        <v>75</v>
      </c>
      <c r="G832" s="15">
        <v>2</v>
      </c>
      <c r="H832" s="11">
        <v>2013.7264</v>
      </c>
      <c r="I832" s="12">
        <v>20</v>
      </c>
      <c r="J832" s="11">
        <v>3222.1514999999995</v>
      </c>
      <c r="K832" s="11">
        <v>750.41589999999997</v>
      </c>
      <c r="L832" s="10" t="s">
        <v>23</v>
      </c>
      <c r="M832" s="5">
        <f t="shared" si="72"/>
        <v>2024</v>
      </c>
      <c r="N832" s="5">
        <f t="shared" si="73"/>
        <v>12</v>
      </c>
      <c r="O832" s="21">
        <f t="shared" si="74"/>
        <v>45627</v>
      </c>
      <c r="P832" s="13">
        <f t="shared" si="75"/>
        <v>0.23289280469897214</v>
      </c>
      <c r="Q832" s="5">
        <f t="shared" si="76"/>
        <v>202412</v>
      </c>
      <c r="R832" s="21">
        <f t="shared" si="77"/>
        <v>45627</v>
      </c>
    </row>
    <row r="833" spans="1:18" x14ac:dyDescent="0.25">
      <c r="A833" s="5" t="s">
        <v>1501</v>
      </c>
      <c r="B833" s="14">
        <v>45618</v>
      </c>
      <c r="C833" s="5" t="s">
        <v>1303</v>
      </c>
      <c r="D833" s="10" t="s">
        <v>20</v>
      </c>
      <c r="E833" s="10" t="s">
        <v>43</v>
      </c>
      <c r="F833" s="10" t="s">
        <v>22</v>
      </c>
      <c r="G833" s="15">
        <v>2</v>
      </c>
      <c r="H833" s="11">
        <v>3266.6276000000003</v>
      </c>
      <c r="I833" s="12">
        <v>25</v>
      </c>
      <c r="J833" s="11">
        <v>4899.9413999999997</v>
      </c>
      <c r="K833" s="11">
        <v>2548.3858999999998</v>
      </c>
      <c r="L833" s="10" t="s">
        <v>34</v>
      </c>
      <c r="M833" s="5">
        <f t="shared" si="72"/>
        <v>2024</v>
      </c>
      <c r="N833" s="5">
        <f t="shared" si="73"/>
        <v>11</v>
      </c>
      <c r="O833" s="21">
        <f t="shared" si="74"/>
        <v>45597</v>
      </c>
      <c r="P833" s="13">
        <f t="shared" si="75"/>
        <v>0.52008497489378136</v>
      </c>
      <c r="Q833" s="5">
        <f t="shared" si="76"/>
        <v>202411</v>
      </c>
      <c r="R833" s="21">
        <f t="shared" si="77"/>
        <v>45597</v>
      </c>
    </row>
    <row r="834" spans="1:18" x14ac:dyDescent="0.25">
      <c r="A834" s="5" t="s">
        <v>1502</v>
      </c>
      <c r="B834" s="14">
        <v>45759</v>
      </c>
      <c r="C834" s="5" t="s">
        <v>473</v>
      </c>
      <c r="D834" s="10" t="s">
        <v>42</v>
      </c>
      <c r="E834" s="10" t="s">
        <v>184</v>
      </c>
      <c r="F834" s="10" t="s">
        <v>49</v>
      </c>
      <c r="G834" s="15">
        <v>5</v>
      </c>
      <c r="H834" s="11">
        <v>2651.5326</v>
      </c>
      <c r="I834" s="12">
        <v>20</v>
      </c>
      <c r="J834" s="11">
        <v>10606.1304</v>
      </c>
      <c r="K834" s="11">
        <v>4558.3270999999995</v>
      </c>
      <c r="L834" s="10" t="s">
        <v>17</v>
      </c>
      <c r="M834" s="5">
        <f t="shared" ref="M834:M897" si="78">YEAR(B834)</f>
        <v>2025</v>
      </c>
      <c r="N834" s="5">
        <f t="shared" ref="N834:N897" si="79">MONTH(B834)</f>
        <v>4</v>
      </c>
      <c r="O834" s="21">
        <f t="shared" ref="O834:O897" si="80">DATE(YEAR(B834),MONTH(B834),1)</f>
        <v>45748</v>
      </c>
      <c r="P834" s="13">
        <f t="shared" ref="P834:P897" si="81">(K834/J834)</f>
        <v>0.42978229835831544</v>
      </c>
      <c r="Q834" s="5">
        <f t="shared" ref="Q834:Q897" si="82">YEAR(B834)*100+MONTH(B834)</f>
        <v>202504</v>
      </c>
      <c r="R834" s="21">
        <f t="shared" ref="R834:R897" si="83">DATE(YEAR(B834),MONTH(B834),1)</f>
        <v>45748</v>
      </c>
    </row>
    <row r="835" spans="1:18" x14ac:dyDescent="0.25">
      <c r="A835" s="5" t="s">
        <v>1503</v>
      </c>
      <c r="B835" s="14">
        <v>45344</v>
      </c>
      <c r="C835" s="5" t="s">
        <v>1504</v>
      </c>
      <c r="D835" s="10" t="s">
        <v>20</v>
      </c>
      <c r="E835" s="10" t="s">
        <v>105</v>
      </c>
      <c r="F835" s="10" t="s">
        <v>39</v>
      </c>
      <c r="G835" s="15">
        <v>5</v>
      </c>
      <c r="H835" s="11">
        <v>5325.7763999999997</v>
      </c>
      <c r="I835" s="12">
        <v>0</v>
      </c>
      <c r="J835" s="11">
        <v>26628.881999999998</v>
      </c>
      <c r="K835" s="11">
        <v>9697.6823999999997</v>
      </c>
      <c r="L835" s="10" t="s">
        <v>23</v>
      </c>
      <c r="M835" s="5">
        <f t="shared" si="78"/>
        <v>2024</v>
      </c>
      <c r="N835" s="5">
        <f t="shared" si="79"/>
        <v>2</v>
      </c>
      <c r="O835" s="21">
        <f t="shared" si="80"/>
        <v>45323</v>
      </c>
      <c r="P835" s="13">
        <f t="shared" si="81"/>
        <v>0.36417910447761198</v>
      </c>
      <c r="Q835" s="5">
        <f t="shared" si="82"/>
        <v>202402</v>
      </c>
      <c r="R835" s="21">
        <f t="shared" si="83"/>
        <v>45323</v>
      </c>
    </row>
    <row r="836" spans="1:18" x14ac:dyDescent="0.25">
      <c r="A836" s="5" t="s">
        <v>1505</v>
      </c>
      <c r="B836" s="14">
        <v>45381</v>
      </c>
      <c r="C836" s="5" t="s">
        <v>1098</v>
      </c>
      <c r="D836" s="10" t="s">
        <v>14</v>
      </c>
      <c r="E836" s="10" t="s">
        <v>136</v>
      </c>
      <c r="F836" s="10" t="s">
        <v>75</v>
      </c>
      <c r="G836" s="15">
        <v>1</v>
      </c>
      <c r="H836" s="11">
        <v>4324.5910000000003</v>
      </c>
      <c r="I836" s="12">
        <v>5</v>
      </c>
      <c r="J836" s="11">
        <v>4108.8346000000001</v>
      </c>
      <c r="K836" s="11">
        <v>899.93129999999996</v>
      </c>
      <c r="L836" s="10" t="s">
        <v>17</v>
      </c>
      <c r="M836" s="5">
        <f t="shared" si="78"/>
        <v>2024</v>
      </c>
      <c r="N836" s="5">
        <f t="shared" si="79"/>
        <v>3</v>
      </c>
      <c r="O836" s="21">
        <f t="shared" si="80"/>
        <v>45352</v>
      </c>
      <c r="P836" s="13">
        <f t="shared" si="81"/>
        <v>0.21902349147858127</v>
      </c>
      <c r="Q836" s="5">
        <f t="shared" si="82"/>
        <v>202403</v>
      </c>
      <c r="R836" s="21">
        <f t="shared" si="83"/>
        <v>45352</v>
      </c>
    </row>
    <row r="837" spans="1:18" x14ac:dyDescent="0.25">
      <c r="A837" s="5" t="s">
        <v>1506</v>
      </c>
      <c r="B837" s="14">
        <v>45350</v>
      </c>
      <c r="C837" s="5" t="s">
        <v>355</v>
      </c>
      <c r="D837" s="10" t="s">
        <v>37</v>
      </c>
      <c r="E837" s="10" t="s">
        <v>227</v>
      </c>
      <c r="F837" s="10" t="s">
        <v>39</v>
      </c>
      <c r="G837" s="15">
        <v>2</v>
      </c>
      <c r="H837" s="11">
        <v>3426.5522999999998</v>
      </c>
      <c r="I837" s="12">
        <v>0</v>
      </c>
      <c r="J837" s="11">
        <v>6853.1045999999997</v>
      </c>
      <c r="K837" s="11">
        <v>1681.5750999999998</v>
      </c>
      <c r="L837" s="10" t="s">
        <v>17</v>
      </c>
      <c r="M837" s="5">
        <f t="shared" si="78"/>
        <v>2024</v>
      </c>
      <c r="N837" s="5">
        <f t="shared" si="79"/>
        <v>2</v>
      </c>
      <c r="O837" s="21">
        <f t="shared" si="80"/>
        <v>45323</v>
      </c>
      <c r="P837" s="13">
        <f t="shared" si="81"/>
        <v>0.24537420602043633</v>
      </c>
      <c r="Q837" s="5">
        <f t="shared" si="82"/>
        <v>202402</v>
      </c>
      <c r="R837" s="21">
        <f t="shared" si="83"/>
        <v>45323</v>
      </c>
    </row>
    <row r="838" spans="1:18" x14ac:dyDescent="0.25">
      <c r="A838" s="5" t="s">
        <v>1507</v>
      </c>
      <c r="B838" s="14">
        <v>45569</v>
      </c>
      <c r="C838" s="5" t="s">
        <v>336</v>
      </c>
      <c r="D838" s="10" t="s">
        <v>37</v>
      </c>
      <c r="E838" s="10" t="s">
        <v>141</v>
      </c>
      <c r="F838" s="10" t="s">
        <v>16</v>
      </c>
      <c r="G838" s="15">
        <v>1</v>
      </c>
      <c r="H838" s="11">
        <v>9312.5382999999983</v>
      </c>
      <c r="I838" s="12">
        <v>15</v>
      </c>
      <c r="J838" s="11">
        <v>7915.7995000000001</v>
      </c>
      <c r="K838" s="11">
        <v>1301.1624999999999</v>
      </c>
      <c r="L838" s="10" t="s">
        <v>17</v>
      </c>
      <c r="M838" s="5">
        <f t="shared" si="78"/>
        <v>2024</v>
      </c>
      <c r="N838" s="5">
        <f t="shared" si="79"/>
        <v>10</v>
      </c>
      <c r="O838" s="21">
        <f t="shared" si="80"/>
        <v>45566</v>
      </c>
      <c r="P838" s="13">
        <f t="shared" si="81"/>
        <v>0.1643753735803945</v>
      </c>
      <c r="Q838" s="5">
        <f t="shared" si="82"/>
        <v>202410</v>
      </c>
      <c r="R838" s="21">
        <f t="shared" si="83"/>
        <v>45566</v>
      </c>
    </row>
    <row r="839" spans="1:18" x14ac:dyDescent="0.25">
      <c r="A839" s="5" t="s">
        <v>1508</v>
      </c>
      <c r="B839" s="14">
        <v>46008</v>
      </c>
      <c r="C839" s="5" t="s">
        <v>256</v>
      </c>
      <c r="D839" s="10" t="s">
        <v>26</v>
      </c>
      <c r="E839" s="10" t="s">
        <v>30</v>
      </c>
      <c r="F839" s="10" t="s">
        <v>16</v>
      </c>
      <c r="G839" s="15">
        <v>2</v>
      </c>
      <c r="H839" s="11">
        <v>13793.268799999998</v>
      </c>
      <c r="I839" s="12">
        <v>10</v>
      </c>
      <c r="J839" s="11">
        <v>24828.073099999998</v>
      </c>
      <c r="K839" s="11">
        <v>4118.2975999999999</v>
      </c>
      <c r="L839" s="10" t="s">
        <v>23</v>
      </c>
      <c r="M839" s="5">
        <f t="shared" si="78"/>
        <v>2025</v>
      </c>
      <c r="N839" s="5">
        <f t="shared" si="79"/>
        <v>12</v>
      </c>
      <c r="O839" s="21">
        <f t="shared" si="80"/>
        <v>45992</v>
      </c>
      <c r="P839" s="13">
        <f t="shared" si="81"/>
        <v>0.16587262263216071</v>
      </c>
      <c r="Q839" s="5">
        <f t="shared" si="82"/>
        <v>202512</v>
      </c>
      <c r="R839" s="21">
        <f t="shared" si="83"/>
        <v>45992</v>
      </c>
    </row>
    <row r="840" spans="1:18" x14ac:dyDescent="0.25">
      <c r="A840" s="5" t="s">
        <v>1509</v>
      </c>
      <c r="B840" s="14">
        <v>46000</v>
      </c>
      <c r="C840" s="5" t="s">
        <v>1510</v>
      </c>
      <c r="D840" s="10" t="s">
        <v>26</v>
      </c>
      <c r="E840" s="10" t="s">
        <v>80</v>
      </c>
      <c r="F840" s="10" t="s">
        <v>16</v>
      </c>
      <c r="G840" s="15">
        <v>1</v>
      </c>
      <c r="H840" s="11">
        <v>6344.941499999999</v>
      </c>
      <c r="I840" s="12">
        <v>0</v>
      </c>
      <c r="J840" s="11">
        <v>6344.941499999999</v>
      </c>
      <c r="K840" s="11">
        <v>1295.4847</v>
      </c>
      <c r="L840" s="10" t="s">
        <v>17</v>
      </c>
      <c r="M840" s="5">
        <f t="shared" si="78"/>
        <v>2025</v>
      </c>
      <c r="N840" s="5">
        <f t="shared" si="79"/>
        <v>12</v>
      </c>
      <c r="O840" s="21">
        <f t="shared" si="80"/>
        <v>45992</v>
      </c>
      <c r="P840" s="13">
        <f t="shared" si="81"/>
        <v>0.20417598806860554</v>
      </c>
      <c r="Q840" s="5">
        <f t="shared" si="82"/>
        <v>202512</v>
      </c>
      <c r="R840" s="21">
        <f t="shared" si="83"/>
        <v>45992</v>
      </c>
    </row>
    <row r="841" spans="1:18" x14ac:dyDescent="0.25">
      <c r="A841" s="5" t="s">
        <v>1511</v>
      </c>
      <c r="B841" s="14">
        <v>45617</v>
      </c>
      <c r="C841" s="5" t="s">
        <v>288</v>
      </c>
      <c r="D841" s="10" t="s">
        <v>26</v>
      </c>
      <c r="E841" s="10" t="s">
        <v>556</v>
      </c>
      <c r="F841" s="10" t="s">
        <v>49</v>
      </c>
      <c r="G841" s="15">
        <v>4</v>
      </c>
      <c r="H841" s="11">
        <v>7973.5237999999999</v>
      </c>
      <c r="I841" s="12">
        <v>10</v>
      </c>
      <c r="J841" s="11">
        <v>28705.064199999997</v>
      </c>
      <c r="K841" s="11">
        <v>12287.705499999998</v>
      </c>
      <c r="L841" s="10" t="s">
        <v>23</v>
      </c>
      <c r="M841" s="5">
        <f t="shared" si="78"/>
        <v>2024</v>
      </c>
      <c r="N841" s="5">
        <f t="shared" si="79"/>
        <v>11</v>
      </c>
      <c r="O841" s="21">
        <f t="shared" si="80"/>
        <v>45597</v>
      </c>
      <c r="P841" s="13">
        <f t="shared" si="81"/>
        <v>0.42806751499967033</v>
      </c>
      <c r="Q841" s="5">
        <f t="shared" si="82"/>
        <v>202411</v>
      </c>
      <c r="R841" s="21">
        <f t="shared" si="83"/>
        <v>45597</v>
      </c>
    </row>
    <row r="842" spans="1:18" x14ac:dyDescent="0.25">
      <c r="A842" s="5" t="s">
        <v>1512</v>
      </c>
      <c r="B842" s="14">
        <v>45959</v>
      </c>
      <c r="C842" s="5" t="s">
        <v>1513</v>
      </c>
      <c r="D842" s="10" t="s">
        <v>37</v>
      </c>
      <c r="E842" s="10" t="s">
        <v>309</v>
      </c>
      <c r="F842" s="10" t="s">
        <v>75</v>
      </c>
      <c r="G842" s="15">
        <v>4</v>
      </c>
      <c r="H842" s="11">
        <v>3935.6617000000001</v>
      </c>
      <c r="I842" s="12">
        <v>20</v>
      </c>
      <c r="J842" s="11">
        <v>12594.306699999999</v>
      </c>
      <c r="K842" s="11">
        <v>3064.1194</v>
      </c>
      <c r="L842" s="10" t="s">
        <v>17</v>
      </c>
      <c r="M842" s="5">
        <f t="shared" si="78"/>
        <v>2025</v>
      </c>
      <c r="N842" s="5">
        <f t="shared" si="79"/>
        <v>10</v>
      </c>
      <c r="O842" s="21">
        <f t="shared" si="80"/>
        <v>45931</v>
      </c>
      <c r="P842" s="13">
        <f t="shared" si="81"/>
        <v>0.2432940115711173</v>
      </c>
      <c r="Q842" s="5">
        <f t="shared" si="82"/>
        <v>202510</v>
      </c>
      <c r="R842" s="21">
        <f t="shared" si="83"/>
        <v>45931</v>
      </c>
    </row>
    <row r="843" spans="1:18" x14ac:dyDescent="0.25">
      <c r="A843" s="5" t="s">
        <v>1514</v>
      </c>
      <c r="B843" s="14">
        <v>45825</v>
      </c>
      <c r="C843" s="5" t="s">
        <v>1515</v>
      </c>
      <c r="D843" s="10" t="s">
        <v>26</v>
      </c>
      <c r="E843" s="10" t="s">
        <v>48</v>
      </c>
      <c r="F843" s="10" t="s">
        <v>49</v>
      </c>
      <c r="G843" s="15">
        <v>1</v>
      </c>
      <c r="H843" s="11">
        <v>3573.2287999999999</v>
      </c>
      <c r="I843" s="12">
        <v>0</v>
      </c>
      <c r="J843" s="11">
        <v>3573.2287999999999</v>
      </c>
      <c r="K843" s="11">
        <v>1421.3425999999999</v>
      </c>
      <c r="L843" s="10" t="s">
        <v>17</v>
      </c>
      <c r="M843" s="5">
        <f t="shared" si="78"/>
        <v>2025</v>
      </c>
      <c r="N843" s="5">
        <f t="shared" si="79"/>
        <v>6</v>
      </c>
      <c r="O843" s="21">
        <f t="shared" si="80"/>
        <v>45809</v>
      </c>
      <c r="P843" s="13">
        <f t="shared" si="81"/>
        <v>0.39777542372881358</v>
      </c>
      <c r="Q843" s="5">
        <f t="shared" si="82"/>
        <v>202506</v>
      </c>
      <c r="R843" s="21">
        <f t="shared" si="83"/>
        <v>45809</v>
      </c>
    </row>
    <row r="844" spans="1:18" x14ac:dyDescent="0.25">
      <c r="A844" s="5" t="s">
        <v>1516</v>
      </c>
      <c r="B844" s="14">
        <v>45969</v>
      </c>
      <c r="C844" s="5" t="s">
        <v>1517</v>
      </c>
      <c r="D844" s="10" t="s">
        <v>42</v>
      </c>
      <c r="E844" s="10" t="s">
        <v>83</v>
      </c>
      <c r="F844" s="10" t="s">
        <v>22</v>
      </c>
      <c r="G844" s="15">
        <v>2</v>
      </c>
      <c r="H844" s="11">
        <v>797.73089999999991</v>
      </c>
      <c r="I844" s="12">
        <v>20</v>
      </c>
      <c r="J844" s="11">
        <v>1276.5587</v>
      </c>
      <c r="K844" s="11">
        <v>789.21420000000001</v>
      </c>
      <c r="L844" s="10" t="s">
        <v>34</v>
      </c>
      <c r="M844" s="5">
        <f t="shared" si="78"/>
        <v>2025</v>
      </c>
      <c r="N844" s="5">
        <f t="shared" si="79"/>
        <v>11</v>
      </c>
      <c r="O844" s="21">
        <f t="shared" si="80"/>
        <v>45962</v>
      </c>
      <c r="P844" s="13">
        <f t="shared" si="81"/>
        <v>0.6182357301704966</v>
      </c>
      <c r="Q844" s="5">
        <f t="shared" si="82"/>
        <v>202511</v>
      </c>
      <c r="R844" s="21">
        <f t="shared" si="83"/>
        <v>45962</v>
      </c>
    </row>
    <row r="845" spans="1:18" x14ac:dyDescent="0.25">
      <c r="A845" s="5" t="s">
        <v>1518</v>
      </c>
      <c r="B845" s="14">
        <v>45566</v>
      </c>
      <c r="C845" s="5" t="s">
        <v>945</v>
      </c>
      <c r="D845" s="10" t="s">
        <v>26</v>
      </c>
      <c r="E845" s="10" t="s">
        <v>21</v>
      </c>
      <c r="F845" s="10" t="s">
        <v>22</v>
      </c>
      <c r="G845" s="15">
        <v>1</v>
      </c>
      <c r="H845" s="11">
        <v>2456.5947999999999</v>
      </c>
      <c r="I845" s="12">
        <v>0</v>
      </c>
      <c r="J845" s="11">
        <v>2456.5947999999999</v>
      </c>
      <c r="K845" s="11">
        <v>1511.2411</v>
      </c>
      <c r="L845" s="10" t="s">
        <v>34</v>
      </c>
      <c r="M845" s="5">
        <f t="shared" si="78"/>
        <v>2024</v>
      </c>
      <c r="N845" s="5">
        <f t="shared" si="79"/>
        <v>10</v>
      </c>
      <c r="O845" s="21">
        <f t="shared" si="80"/>
        <v>45566</v>
      </c>
      <c r="P845" s="13">
        <f t="shared" si="81"/>
        <v>0.61517719568567031</v>
      </c>
      <c r="Q845" s="5">
        <f t="shared" si="82"/>
        <v>202410</v>
      </c>
      <c r="R845" s="21">
        <f t="shared" si="83"/>
        <v>45566</v>
      </c>
    </row>
    <row r="846" spans="1:18" x14ac:dyDescent="0.25">
      <c r="A846" s="5" t="s">
        <v>1519</v>
      </c>
      <c r="B846" s="14">
        <v>45634</v>
      </c>
      <c r="C846" s="5" t="s">
        <v>1520</v>
      </c>
      <c r="D846" s="10" t="s">
        <v>26</v>
      </c>
      <c r="E846" s="10" t="s">
        <v>43</v>
      </c>
      <c r="F846" s="10" t="s">
        <v>22</v>
      </c>
      <c r="G846" s="15">
        <v>1</v>
      </c>
      <c r="H846" s="11">
        <v>4282.0074999999997</v>
      </c>
      <c r="I846" s="12">
        <v>10</v>
      </c>
      <c r="J846" s="11">
        <v>3854.2798999999995</v>
      </c>
      <c r="K846" s="11">
        <v>1680.6288</v>
      </c>
      <c r="L846" s="10" t="s">
        <v>23</v>
      </c>
      <c r="M846" s="5">
        <f t="shared" si="78"/>
        <v>2024</v>
      </c>
      <c r="N846" s="5">
        <f t="shared" si="79"/>
        <v>12</v>
      </c>
      <c r="O846" s="21">
        <f t="shared" si="80"/>
        <v>45627</v>
      </c>
      <c r="P846" s="13">
        <f t="shared" si="81"/>
        <v>0.43604222931500125</v>
      </c>
      <c r="Q846" s="5">
        <f t="shared" si="82"/>
        <v>202412</v>
      </c>
      <c r="R846" s="21">
        <f t="shared" si="83"/>
        <v>45627</v>
      </c>
    </row>
    <row r="847" spans="1:18" x14ac:dyDescent="0.25">
      <c r="A847" s="5" t="s">
        <v>1521</v>
      </c>
      <c r="B847" s="14">
        <v>45827</v>
      </c>
      <c r="C847" s="5" t="s">
        <v>1370</v>
      </c>
      <c r="D847" s="10" t="s">
        <v>14</v>
      </c>
      <c r="E847" s="10" t="s">
        <v>154</v>
      </c>
      <c r="F847" s="10" t="s">
        <v>39</v>
      </c>
      <c r="G847" s="15">
        <v>3</v>
      </c>
      <c r="H847" s="11">
        <v>2974.2208999999998</v>
      </c>
      <c r="I847" s="12">
        <v>20</v>
      </c>
      <c r="J847" s="11">
        <v>7137.9409000000005</v>
      </c>
      <c r="K847" s="11">
        <v>2530.4061999999999</v>
      </c>
      <c r="L847" s="10" t="s">
        <v>23</v>
      </c>
      <c r="M847" s="5">
        <f t="shared" si="78"/>
        <v>2025</v>
      </c>
      <c r="N847" s="5">
        <f t="shared" si="79"/>
        <v>6</v>
      </c>
      <c r="O847" s="21">
        <f t="shared" si="80"/>
        <v>45809</v>
      </c>
      <c r="P847" s="13">
        <f t="shared" si="81"/>
        <v>0.35450086172610362</v>
      </c>
      <c r="Q847" s="5">
        <f t="shared" si="82"/>
        <v>202506</v>
      </c>
      <c r="R847" s="21">
        <f t="shared" si="83"/>
        <v>45809</v>
      </c>
    </row>
    <row r="848" spans="1:18" x14ac:dyDescent="0.25">
      <c r="A848" s="5" t="s">
        <v>1522</v>
      </c>
      <c r="B848" s="14">
        <v>45974</v>
      </c>
      <c r="C848" s="5" t="s">
        <v>764</v>
      </c>
      <c r="D848" s="10" t="s">
        <v>20</v>
      </c>
      <c r="E848" s="10" t="s">
        <v>27</v>
      </c>
      <c r="F848" s="10" t="s">
        <v>22</v>
      </c>
      <c r="G848" s="15">
        <v>2</v>
      </c>
      <c r="H848" s="11">
        <v>3985.8155999999994</v>
      </c>
      <c r="I848" s="12">
        <v>0</v>
      </c>
      <c r="J848" s="11">
        <v>7971.6311999999989</v>
      </c>
      <c r="K848" s="11">
        <v>3463.4580000000001</v>
      </c>
      <c r="L848" s="10" t="s">
        <v>17</v>
      </c>
      <c r="M848" s="5">
        <f t="shared" si="78"/>
        <v>2025</v>
      </c>
      <c r="N848" s="5">
        <f t="shared" si="79"/>
        <v>11</v>
      </c>
      <c r="O848" s="21">
        <f t="shared" si="80"/>
        <v>45962</v>
      </c>
      <c r="P848" s="13">
        <f t="shared" si="81"/>
        <v>0.43447293447293456</v>
      </c>
      <c r="Q848" s="5">
        <f t="shared" si="82"/>
        <v>202511</v>
      </c>
      <c r="R848" s="21">
        <f t="shared" si="83"/>
        <v>45962</v>
      </c>
    </row>
    <row r="849" spans="1:18" x14ac:dyDescent="0.25">
      <c r="A849" s="5" t="s">
        <v>1523</v>
      </c>
      <c r="B849" s="14">
        <v>45987</v>
      </c>
      <c r="C849" s="5" t="s">
        <v>1524</v>
      </c>
      <c r="D849" s="10" t="s">
        <v>20</v>
      </c>
      <c r="E849" s="10" t="s">
        <v>43</v>
      </c>
      <c r="F849" s="10" t="s">
        <v>22</v>
      </c>
      <c r="G849" s="15">
        <v>1</v>
      </c>
      <c r="H849" s="11">
        <v>1506.5095999999999</v>
      </c>
      <c r="I849" s="12">
        <v>10</v>
      </c>
      <c r="J849" s="11">
        <v>1356.0479</v>
      </c>
      <c r="K849" s="11">
        <v>658.62479999999994</v>
      </c>
      <c r="L849" s="10" t="s">
        <v>17</v>
      </c>
      <c r="M849" s="5">
        <f t="shared" si="78"/>
        <v>2025</v>
      </c>
      <c r="N849" s="5">
        <f t="shared" si="79"/>
        <v>11</v>
      </c>
      <c r="O849" s="21">
        <f t="shared" si="80"/>
        <v>45962</v>
      </c>
      <c r="P849" s="13">
        <f t="shared" si="81"/>
        <v>0.48569434752267965</v>
      </c>
      <c r="Q849" s="5">
        <f t="shared" si="82"/>
        <v>202511</v>
      </c>
      <c r="R849" s="21">
        <f t="shared" si="83"/>
        <v>45962</v>
      </c>
    </row>
    <row r="850" spans="1:18" x14ac:dyDescent="0.25">
      <c r="A850" s="5" t="s">
        <v>1525</v>
      </c>
      <c r="B850" s="14">
        <v>45788</v>
      </c>
      <c r="C850" s="5" t="s">
        <v>588</v>
      </c>
      <c r="D850" s="10" t="s">
        <v>14</v>
      </c>
      <c r="E850" s="10" t="s">
        <v>21</v>
      </c>
      <c r="F850" s="10" t="s">
        <v>22</v>
      </c>
      <c r="G850" s="15">
        <v>2</v>
      </c>
      <c r="H850" s="11">
        <v>2828.4906999999998</v>
      </c>
      <c r="I850" s="12">
        <v>0</v>
      </c>
      <c r="J850" s="11">
        <v>5656.9813999999997</v>
      </c>
      <c r="K850" s="11">
        <v>2852.1482000000001</v>
      </c>
      <c r="L850" s="10" t="s">
        <v>17</v>
      </c>
      <c r="M850" s="5">
        <f t="shared" si="78"/>
        <v>2025</v>
      </c>
      <c r="N850" s="5">
        <f t="shared" si="79"/>
        <v>5</v>
      </c>
      <c r="O850" s="21">
        <f t="shared" si="80"/>
        <v>45778</v>
      </c>
      <c r="P850" s="13">
        <f t="shared" si="81"/>
        <v>0.50418200066912011</v>
      </c>
      <c r="Q850" s="5">
        <f t="shared" si="82"/>
        <v>202505</v>
      </c>
      <c r="R850" s="21">
        <f t="shared" si="83"/>
        <v>45778</v>
      </c>
    </row>
    <row r="851" spans="1:18" x14ac:dyDescent="0.25">
      <c r="A851" s="5" t="s">
        <v>1526</v>
      </c>
      <c r="B851" s="14">
        <v>45863</v>
      </c>
      <c r="C851" s="5" t="s">
        <v>429</v>
      </c>
      <c r="D851" s="10" t="s">
        <v>14</v>
      </c>
      <c r="E851" s="10" t="s">
        <v>187</v>
      </c>
      <c r="F851" s="10" t="s">
        <v>75</v>
      </c>
      <c r="G851" s="15">
        <v>1</v>
      </c>
      <c r="H851" s="11">
        <v>2851.2018999999996</v>
      </c>
      <c r="I851" s="12">
        <v>10</v>
      </c>
      <c r="J851" s="11">
        <v>2566.3656000000001</v>
      </c>
      <c r="K851" s="11">
        <v>886.68309999999985</v>
      </c>
      <c r="L851" s="10" t="s">
        <v>17</v>
      </c>
      <c r="M851" s="5">
        <f t="shared" si="78"/>
        <v>2025</v>
      </c>
      <c r="N851" s="5">
        <f t="shared" si="79"/>
        <v>7</v>
      </c>
      <c r="O851" s="21">
        <f t="shared" si="80"/>
        <v>45839</v>
      </c>
      <c r="P851" s="13">
        <f t="shared" si="81"/>
        <v>0.3455014749262536</v>
      </c>
      <c r="Q851" s="5">
        <f t="shared" si="82"/>
        <v>202507</v>
      </c>
      <c r="R851" s="21">
        <f t="shared" si="83"/>
        <v>45839</v>
      </c>
    </row>
    <row r="852" spans="1:18" x14ac:dyDescent="0.25">
      <c r="A852" s="5" t="s">
        <v>1527</v>
      </c>
      <c r="B852" s="14">
        <v>45830</v>
      </c>
      <c r="C852" s="5" t="s">
        <v>1528</v>
      </c>
      <c r="D852" s="10" t="s">
        <v>37</v>
      </c>
      <c r="E852" s="10" t="s">
        <v>141</v>
      </c>
      <c r="F852" s="10" t="s">
        <v>16</v>
      </c>
      <c r="G852" s="15">
        <v>3</v>
      </c>
      <c r="H852" s="11">
        <v>8943.4812999999995</v>
      </c>
      <c r="I852" s="12">
        <v>15</v>
      </c>
      <c r="J852" s="11">
        <v>22805.829999999998</v>
      </c>
      <c r="K852" s="11">
        <v>4645.3867</v>
      </c>
      <c r="L852" s="10" t="s">
        <v>17</v>
      </c>
      <c r="M852" s="5">
        <f t="shared" si="78"/>
        <v>2025</v>
      </c>
      <c r="N852" s="5">
        <f t="shared" si="79"/>
        <v>6</v>
      </c>
      <c r="O852" s="21">
        <f t="shared" si="80"/>
        <v>45809</v>
      </c>
      <c r="P852" s="13">
        <f t="shared" si="81"/>
        <v>0.2036929460580913</v>
      </c>
      <c r="Q852" s="5">
        <f t="shared" si="82"/>
        <v>202506</v>
      </c>
      <c r="R852" s="21">
        <f t="shared" si="83"/>
        <v>45809</v>
      </c>
    </row>
    <row r="853" spans="1:18" x14ac:dyDescent="0.25">
      <c r="A853" s="5" t="s">
        <v>1529</v>
      </c>
      <c r="B853" s="14">
        <v>45686</v>
      </c>
      <c r="C853" s="5" t="s">
        <v>1530</v>
      </c>
      <c r="D853" s="10" t="s">
        <v>14</v>
      </c>
      <c r="E853" s="10" t="s">
        <v>111</v>
      </c>
      <c r="F853" s="10" t="s">
        <v>49</v>
      </c>
      <c r="G853" s="15">
        <v>2</v>
      </c>
      <c r="H853" s="11">
        <v>4317.9669000000004</v>
      </c>
      <c r="I853" s="12">
        <v>0</v>
      </c>
      <c r="J853" s="11">
        <v>8635.9338000000007</v>
      </c>
      <c r="K853" s="11">
        <v>3152.1253000000002</v>
      </c>
      <c r="L853" s="10" t="s">
        <v>34</v>
      </c>
      <c r="M853" s="5">
        <f t="shared" si="78"/>
        <v>2025</v>
      </c>
      <c r="N853" s="5">
        <f t="shared" si="79"/>
        <v>1</v>
      </c>
      <c r="O853" s="21">
        <f t="shared" si="80"/>
        <v>45658</v>
      </c>
      <c r="P853" s="13">
        <f t="shared" si="81"/>
        <v>0.36500109577032652</v>
      </c>
      <c r="Q853" s="5">
        <f t="shared" si="82"/>
        <v>202501</v>
      </c>
      <c r="R853" s="21">
        <f t="shared" si="83"/>
        <v>45658</v>
      </c>
    </row>
    <row r="854" spans="1:18" x14ac:dyDescent="0.25">
      <c r="A854" s="5" t="s">
        <v>1531</v>
      </c>
      <c r="B854" s="14">
        <v>46016</v>
      </c>
      <c r="C854" s="5" t="s">
        <v>1532</v>
      </c>
      <c r="D854" s="10" t="s">
        <v>20</v>
      </c>
      <c r="E854" s="10" t="s">
        <v>21</v>
      </c>
      <c r="F854" s="10" t="s">
        <v>22</v>
      </c>
      <c r="G854" s="15">
        <v>3</v>
      </c>
      <c r="H854" s="11">
        <v>1072.1578999999999</v>
      </c>
      <c r="I854" s="12">
        <v>5</v>
      </c>
      <c r="J854" s="11">
        <v>3055.6026999999999</v>
      </c>
      <c r="K854" s="11">
        <v>1565.1801999999998</v>
      </c>
      <c r="L854" s="10" t="s">
        <v>17</v>
      </c>
      <c r="M854" s="5">
        <f t="shared" si="78"/>
        <v>2025</v>
      </c>
      <c r="N854" s="5">
        <f t="shared" si="79"/>
        <v>12</v>
      </c>
      <c r="O854" s="21">
        <f t="shared" si="80"/>
        <v>45992</v>
      </c>
      <c r="P854" s="13">
        <f t="shared" si="81"/>
        <v>0.51223288943945489</v>
      </c>
      <c r="Q854" s="5">
        <f t="shared" si="82"/>
        <v>202512</v>
      </c>
      <c r="R854" s="21">
        <f t="shared" si="83"/>
        <v>45992</v>
      </c>
    </row>
    <row r="855" spans="1:18" x14ac:dyDescent="0.25">
      <c r="A855" s="5" t="s">
        <v>1533</v>
      </c>
      <c r="B855" s="14">
        <v>45515</v>
      </c>
      <c r="C855" s="5" t="s">
        <v>1534</v>
      </c>
      <c r="D855" s="10" t="s">
        <v>42</v>
      </c>
      <c r="E855" s="10" t="s">
        <v>48</v>
      </c>
      <c r="F855" s="10" t="s">
        <v>49</v>
      </c>
      <c r="G855" s="15">
        <v>1</v>
      </c>
      <c r="H855" s="11">
        <v>4525.2065999999995</v>
      </c>
      <c r="I855" s="12">
        <v>20</v>
      </c>
      <c r="J855" s="11">
        <v>3620.5437999999995</v>
      </c>
      <c r="K855" s="11">
        <v>1167.7341999999999</v>
      </c>
      <c r="L855" s="10" t="s">
        <v>34</v>
      </c>
      <c r="M855" s="5">
        <f t="shared" si="78"/>
        <v>2024</v>
      </c>
      <c r="N855" s="5">
        <f t="shared" si="79"/>
        <v>8</v>
      </c>
      <c r="O855" s="21">
        <f t="shared" si="80"/>
        <v>45505</v>
      </c>
      <c r="P855" s="13">
        <f t="shared" si="81"/>
        <v>0.32253005750130687</v>
      </c>
      <c r="Q855" s="5">
        <f t="shared" si="82"/>
        <v>202408</v>
      </c>
      <c r="R855" s="21">
        <f t="shared" si="83"/>
        <v>45505</v>
      </c>
    </row>
    <row r="856" spans="1:18" x14ac:dyDescent="0.25">
      <c r="A856" s="5" t="s">
        <v>1535</v>
      </c>
      <c r="B856" s="14">
        <v>45775</v>
      </c>
      <c r="C856" s="5" t="s">
        <v>1536</v>
      </c>
      <c r="D856" s="10" t="s">
        <v>26</v>
      </c>
      <c r="E856" s="10" t="s">
        <v>33</v>
      </c>
      <c r="F856" s="10" t="s">
        <v>16</v>
      </c>
      <c r="G856" s="15">
        <v>1</v>
      </c>
      <c r="H856" s="11">
        <v>8044.4962999999998</v>
      </c>
      <c r="I856" s="12">
        <v>10</v>
      </c>
      <c r="J856" s="11">
        <v>7240.1413000000002</v>
      </c>
      <c r="K856" s="11">
        <v>625.50429999999994</v>
      </c>
      <c r="L856" s="10" t="s">
        <v>23</v>
      </c>
      <c r="M856" s="5">
        <f t="shared" si="78"/>
        <v>2025</v>
      </c>
      <c r="N856" s="5">
        <f t="shared" si="79"/>
        <v>4</v>
      </c>
      <c r="O856" s="21">
        <f t="shared" si="80"/>
        <v>45748</v>
      </c>
      <c r="P856" s="13">
        <f t="shared" si="81"/>
        <v>8.6393935433276683E-2</v>
      </c>
      <c r="Q856" s="5">
        <f t="shared" si="82"/>
        <v>202504</v>
      </c>
      <c r="R856" s="21">
        <f t="shared" si="83"/>
        <v>45748</v>
      </c>
    </row>
    <row r="857" spans="1:18" x14ac:dyDescent="0.25">
      <c r="A857" s="5" t="s">
        <v>1537</v>
      </c>
      <c r="B857" s="14">
        <v>45874</v>
      </c>
      <c r="C857" s="5" t="s">
        <v>1538</v>
      </c>
      <c r="D857" s="10" t="s">
        <v>42</v>
      </c>
      <c r="E857" s="10" t="s">
        <v>108</v>
      </c>
      <c r="F857" s="10" t="s">
        <v>75</v>
      </c>
      <c r="G857" s="15">
        <v>1</v>
      </c>
      <c r="H857" s="11">
        <v>4546.9714999999997</v>
      </c>
      <c r="I857" s="12">
        <v>5</v>
      </c>
      <c r="J857" s="11">
        <v>4319.8594999999996</v>
      </c>
      <c r="K857" s="11">
        <v>1503.6706999999999</v>
      </c>
      <c r="L857" s="10" t="s">
        <v>23</v>
      </c>
      <c r="M857" s="5">
        <f t="shared" si="78"/>
        <v>2025</v>
      </c>
      <c r="N857" s="5">
        <f t="shared" si="79"/>
        <v>8</v>
      </c>
      <c r="O857" s="21">
        <f t="shared" si="80"/>
        <v>45870</v>
      </c>
      <c r="P857" s="13">
        <f t="shared" si="81"/>
        <v>0.3480832420591457</v>
      </c>
      <c r="Q857" s="5">
        <f t="shared" si="82"/>
        <v>202508</v>
      </c>
      <c r="R857" s="21">
        <f t="shared" si="83"/>
        <v>45870</v>
      </c>
    </row>
    <row r="858" spans="1:18" x14ac:dyDescent="0.25">
      <c r="A858" s="5" t="s">
        <v>1539</v>
      </c>
      <c r="B858" s="14">
        <v>45943</v>
      </c>
      <c r="C858" s="5" t="s">
        <v>1540</v>
      </c>
      <c r="D858" s="10" t="s">
        <v>37</v>
      </c>
      <c r="E858" s="10" t="s">
        <v>105</v>
      </c>
      <c r="F858" s="10" t="s">
        <v>39</v>
      </c>
      <c r="G858" s="15">
        <v>1</v>
      </c>
      <c r="H858" s="11">
        <v>1521.6503999999998</v>
      </c>
      <c r="I858" s="12">
        <v>0</v>
      </c>
      <c r="J858" s="11">
        <v>1521.6503999999998</v>
      </c>
      <c r="K858" s="11">
        <v>587.65229999999997</v>
      </c>
      <c r="L858" s="10" t="s">
        <v>17</v>
      </c>
      <c r="M858" s="5">
        <f t="shared" si="78"/>
        <v>2025</v>
      </c>
      <c r="N858" s="5">
        <f t="shared" si="79"/>
        <v>10</v>
      </c>
      <c r="O858" s="21">
        <f t="shared" si="80"/>
        <v>45931</v>
      </c>
      <c r="P858" s="13">
        <f t="shared" si="81"/>
        <v>0.3861940298507463</v>
      </c>
      <c r="Q858" s="5">
        <f t="shared" si="82"/>
        <v>202510</v>
      </c>
      <c r="R858" s="21">
        <f t="shared" si="83"/>
        <v>45931</v>
      </c>
    </row>
    <row r="859" spans="1:18" x14ac:dyDescent="0.25">
      <c r="A859" s="5" t="s">
        <v>1541</v>
      </c>
      <c r="B859" s="14">
        <v>45535</v>
      </c>
      <c r="C859" s="5" t="s">
        <v>1542</v>
      </c>
      <c r="D859" s="10" t="s">
        <v>14</v>
      </c>
      <c r="E859" s="10" t="s">
        <v>151</v>
      </c>
      <c r="F859" s="10" t="s">
        <v>39</v>
      </c>
      <c r="G859" s="15">
        <v>1</v>
      </c>
      <c r="H859" s="11">
        <v>3875.0985000000001</v>
      </c>
      <c r="I859" s="12">
        <v>0</v>
      </c>
      <c r="J859" s="11">
        <v>3875.0985000000001</v>
      </c>
      <c r="K859" s="11">
        <v>976.58159999999998</v>
      </c>
      <c r="L859" s="10" t="s">
        <v>17</v>
      </c>
      <c r="M859" s="5">
        <f t="shared" si="78"/>
        <v>2024</v>
      </c>
      <c r="N859" s="5">
        <f t="shared" si="79"/>
        <v>8</v>
      </c>
      <c r="O859" s="21">
        <f t="shared" si="80"/>
        <v>45505</v>
      </c>
      <c r="P859" s="13">
        <f t="shared" si="81"/>
        <v>0.25201465201465201</v>
      </c>
      <c r="Q859" s="5">
        <f t="shared" si="82"/>
        <v>202408</v>
      </c>
      <c r="R859" s="21">
        <f t="shared" si="83"/>
        <v>45505</v>
      </c>
    </row>
    <row r="860" spans="1:18" x14ac:dyDescent="0.25">
      <c r="A860" s="5" t="s">
        <v>1543</v>
      </c>
      <c r="B860" s="14">
        <v>45553</v>
      </c>
      <c r="C860" s="5" t="s">
        <v>1544</v>
      </c>
      <c r="D860" s="10" t="s">
        <v>26</v>
      </c>
      <c r="E860" s="10" t="s">
        <v>286</v>
      </c>
      <c r="F860" s="10" t="s">
        <v>39</v>
      </c>
      <c r="G860" s="15">
        <v>1</v>
      </c>
      <c r="H860" s="11">
        <v>2936.3688999999999</v>
      </c>
      <c r="I860" s="12">
        <v>0</v>
      </c>
      <c r="J860" s="11">
        <v>2936.3688999999999</v>
      </c>
      <c r="K860" s="11">
        <v>1095.8154</v>
      </c>
      <c r="L860" s="10" t="s">
        <v>23</v>
      </c>
      <c r="M860" s="5">
        <f t="shared" si="78"/>
        <v>2024</v>
      </c>
      <c r="N860" s="5">
        <f t="shared" si="79"/>
        <v>9</v>
      </c>
      <c r="O860" s="21">
        <f t="shared" si="80"/>
        <v>45536</v>
      </c>
      <c r="P860" s="13">
        <f t="shared" si="81"/>
        <v>0.37318723815662264</v>
      </c>
      <c r="Q860" s="5">
        <f t="shared" si="82"/>
        <v>202409</v>
      </c>
      <c r="R860" s="21">
        <f t="shared" si="83"/>
        <v>45536</v>
      </c>
    </row>
    <row r="861" spans="1:18" x14ac:dyDescent="0.25">
      <c r="A861" s="5" t="s">
        <v>1545</v>
      </c>
      <c r="B861" s="14">
        <v>45516</v>
      </c>
      <c r="C861" s="5" t="s">
        <v>447</v>
      </c>
      <c r="D861" s="10" t="s">
        <v>26</v>
      </c>
      <c r="E861" s="10" t="s">
        <v>227</v>
      </c>
      <c r="F861" s="10" t="s">
        <v>39</v>
      </c>
      <c r="G861" s="15">
        <v>4</v>
      </c>
      <c r="H861" s="11">
        <v>6010.8976000000002</v>
      </c>
      <c r="I861" s="12">
        <v>0</v>
      </c>
      <c r="J861" s="11">
        <v>24043.590400000001</v>
      </c>
      <c r="K861" s="11">
        <v>7841.0418</v>
      </c>
      <c r="L861" s="10" t="s">
        <v>17</v>
      </c>
      <c r="M861" s="5">
        <f t="shared" si="78"/>
        <v>2024</v>
      </c>
      <c r="N861" s="5">
        <f t="shared" si="79"/>
        <v>8</v>
      </c>
      <c r="O861" s="21">
        <f t="shared" si="80"/>
        <v>45505</v>
      </c>
      <c r="P861" s="13">
        <f t="shared" si="81"/>
        <v>0.32611775818639799</v>
      </c>
      <c r="Q861" s="5">
        <f t="shared" si="82"/>
        <v>202408</v>
      </c>
      <c r="R861" s="21">
        <f t="shared" si="83"/>
        <v>45505</v>
      </c>
    </row>
    <row r="862" spans="1:18" x14ac:dyDescent="0.25">
      <c r="A862" s="5" t="s">
        <v>1546</v>
      </c>
      <c r="B862" s="14">
        <v>45767</v>
      </c>
      <c r="C862" s="5" t="s">
        <v>346</v>
      </c>
      <c r="D862" s="10" t="s">
        <v>14</v>
      </c>
      <c r="E862" s="10" t="s">
        <v>151</v>
      </c>
      <c r="F862" s="10" t="s">
        <v>39</v>
      </c>
      <c r="G862" s="15">
        <v>3</v>
      </c>
      <c r="H862" s="11">
        <v>6779.2932000000001</v>
      </c>
      <c r="I862" s="12">
        <v>10</v>
      </c>
      <c r="J862" s="11">
        <v>18304.280900000002</v>
      </c>
      <c r="K862" s="11">
        <v>5632.3775999999998</v>
      </c>
      <c r="L862" s="10" t="s">
        <v>17</v>
      </c>
      <c r="M862" s="5">
        <f t="shared" si="78"/>
        <v>2025</v>
      </c>
      <c r="N862" s="5">
        <f t="shared" si="79"/>
        <v>4</v>
      </c>
      <c r="O862" s="21">
        <f t="shared" si="80"/>
        <v>45748</v>
      </c>
      <c r="P862" s="13">
        <f t="shared" si="81"/>
        <v>0.30770821485808814</v>
      </c>
      <c r="Q862" s="5">
        <f t="shared" si="82"/>
        <v>202504</v>
      </c>
      <c r="R862" s="21">
        <f t="shared" si="83"/>
        <v>45748</v>
      </c>
    </row>
    <row r="863" spans="1:18" x14ac:dyDescent="0.25">
      <c r="A863" s="5" t="s">
        <v>1547</v>
      </c>
      <c r="B863" s="14">
        <v>45619</v>
      </c>
      <c r="C863" s="5" t="s">
        <v>1548</v>
      </c>
      <c r="D863" s="10" t="s">
        <v>42</v>
      </c>
      <c r="E863" s="10" t="s">
        <v>324</v>
      </c>
      <c r="F863" s="10" t="s">
        <v>16</v>
      </c>
      <c r="G863" s="15">
        <v>1</v>
      </c>
      <c r="H863" s="11">
        <v>13911.556299999998</v>
      </c>
      <c r="I863" s="12">
        <v>15</v>
      </c>
      <c r="J863" s="11">
        <v>11824.9648</v>
      </c>
      <c r="K863" s="11">
        <v>1983.4448</v>
      </c>
      <c r="L863" s="10" t="s">
        <v>17</v>
      </c>
      <c r="M863" s="5">
        <f t="shared" si="78"/>
        <v>2024</v>
      </c>
      <c r="N863" s="5">
        <f t="shared" si="79"/>
        <v>11</v>
      </c>
      <c r="O863" s="21">
        <f t="shared" si="80"/>
        <v>45597</v>
      </c>
      <c r="P863" s="13">
        <f t="shared" si="81"/>
        <v>0.16773367477592829</v>
      </c>
      <c r="Q863" s="5">
        <f t="shared" si="82"/>
        <v>202411</v>
      </c>
      <c r="R863" s="21">
        <f t="shared" si="83"/>
        <v>45597</v>
      </c>
    </row>
    <row r="864" spans="1:18" x14ac:dyDescent="0.25">
      <c r="A864" s="5" t="s">
        <v>1549</v>
      </c>
      <c r="B864" s="14">
        <v>46007</v>
      </c>
      <c r="C864" s="5" t="s">
        <v>419</v>
      </c>
      <c r="D864" s="10" t="s">
        <v>20</v>
      </c>
      <c r="E864" s="10" t="s">
        <v>69</v>
      </c>
      <c r="F864" s="10" t="s">
        <v>39</v>
      </c>
      <c r="G864" s="15">
        <v>1</v>
      </c>
      <c r="H864" s="11">
        <v>1827.3052999999998</v>
      </c>
      <c r="I864" s="12">
        <v>25</v>
      </c>
      <c r="J864" s="11">
        <v>1370.2423999999999</v>
      </c>
      <c r="K864" s="11">
        <v>386.09039999999999</v>
      </c>
      <c r="L864" s="10" t="s">
        <v>17</v>
      </c>
      <c r="M864" s="5">
        <f t="shared" si="78"/>
        <v>2025</v>
      </c>
      <c r="N864" s="5">
        <f t="shared" si="79"/>
        <v>12</v>
      </c>
      <c r="O864" s="21">
        <f t="shared" si="80"/>
        <v>45992</v>
      </c>
      <c r="P864" s="13">
        <f t="shared" si="81"/>
        <v>0.28176795580110497</v>
      </c>
      <c r="Q864" s="5">
        <f t="shared" si="82"/>
        <v>202512</v>
      </c>
      <c r="R864" s="21">
        <f t="shared" si="83"/>
        <v>45992</v>
      </c>
    </row>
    <row r="865" spans="1:18" x14ac:dyDescent="0.25">
      <c r="A865" s="5" t="s">
        <v>1550</v>
      </c>
      <c r="B865" s="14">
        <v>45448</v>
      </c>
      <c r="C865" s="5" t="s">
        <v>199</v>
      </c>
      <c r="D865" s="10" t="s">
        <v>37</v>
      </c>
      <c r="E865" s="10" t="s">
        <v>105</v>
      </c>
      <c r="F865" s="10" t="s">
        <v>39</v>
      </c>
      <c r="G865" s="15">
        <v>2</v>
      </c>
      <c r="H865" s="11">
        <v>4581.0382999999993</v>
      </c>
      <c r="I865" s="12">
        <v>0</v>
      </c>
      <c r="J865" s="11">
        <v>9162.0765999999985</v>
      </c>
      <c r="K865" s="11">
        <v>2554.0636999999997</v>
      </c>
      <c r="L865" s="10" t="s">
        <v>34</v>
      </c>
      <c r="M865" s="5">
        <f t="shared" si="78"/>
        <v>2024</v>
      </c>
      <c r="N865" s="5">
        <f t="shared" si="79"/>
        <v>6</v>
      </c>
      <c r="O865" s="21">
        <f t="shared" si="80"/>
        <v>45444</v>
      </c>
      <c r="P865" s="13">
        <f t="shared" si="81"/>
        <v>0.2787647180334642</v>
      </c>
      <c r="Q865" s="5">
        <f t="shared" si="82"/>
        <v>202406</v>
      </c>
      <c r="R865" s="21">
        <f t="shared" si="83"/>
        <v>45444</v>
      </c>
    </row>
    <row r="866" spans="1:18" x14ac:dyDescent="0.25">
      <c r="A866" s="5" t="s">
        <v>1551</v>
      </c>
      <c r="B866" s="14">
        <v>45389</v>
      </c>
      <c r="C866" s="5" t="s">
        <v>1229</v>
      </c>
      <c r="D866" s="10" t="s">
        <v>14</v>
      </c>
      <c r="E866" s="10" t="s">
        <v>136</v>
      </c>
      <c r="F866" s="10" t="s">
        <v>75</v>
      </c>
      <c r="G866" s="15">
        <v>2</v>
      </c>
      <c r="H866" s="11">
        <v>2674.2438000000002</v>
      </c>
      <c r="I866" s="12">
        <v>0</v>
      </c>
      <c r="J866" s="11">
        <v>5348.4876000000004</v>
      </c>
      <c r="K866" s="11">
        <v>1220.7269999999999</v>
      </c>
      <c r="L866" s="10" t="s">
        <v>17</v>
      </c>
      <c r="M866" s="5">
        <f t="shared" si="78"/>
        <v>2024</v>
      </c>
      <c r="N866" s="5">
        <f t="shared" si="79"/>
        <v>4</v>
      </c>
      <c r="O866" s="21">
        <f t="shared" si="80"/>
        <v>45383</v>
      </c>
      <c r="P866" s="13">
        <f t="shared" si="81"/>
        <v>0.2282377919320594</v>
      </c>
      <c r="Q866" s="5">
        <f t="shared" si="82"/>
        <v>202404</v>
      </c>
      <c r="R866" s="21">
        <f t="shared" si="83"/>
        <v>45383</v>
      </c>
    </row>
    <row r="867" spans="1:18" x14ac:dyDescent="0.25">
      <c r="A867" s="5" t="s">
        <v>1552</v>
      </c>
      <c r="B867" s="14">
        <v>46005</v>
      </c>
      <c r="C867" s="5" t="s">
        <v>1553</v>
      </c>
      <c r="D867" s="10" t="s">
        <v>14</v>
      </c>
      <c r="E867" s="10" t="s">
        <v>105</v>
      </c>
      <c r="F867" s="10" t="s">
        <v>39</v>
      </c>
      <c r="G867" s="15">
        <v>1</v>
      </c>
      <c r="H867" s="11">
        <v>4897.1025</v>
      </c>
      <c r="I867" s="12">
        <v>0</v>
      </c>
      <c r="J867" s="11">
        <v>4897.1025</v>
      </c>
      <c r="K867" s="11">
        <v>1885.9758999999999</v>
      </c>
      <c r="L867" s="10" t="s">
        <v>17</v>
      </c>
      <c r="M867" s="5">
        <f t="shared" si="78"/>
        <v>2025</v>
      </c>
      <c r="N867" s="5">
        <f t="shared" si="79"/>
        <v>12</v>
      </c>
      <c r="O867" s="21">
        <f t="shared" si="80"/>
        <v>45992</v>
      </c>
      <c r="P867" s="13">
        <f t="shared" si="81"/>
        <v>0.38512077294685987</v>
      </c>
      <c r="Q867" s="5">
        <f t="shared" si="82"/>
        <v>202512</v>
      </c>
      <c r="R867" s="21">
        <f t="shared" si="83"/>
        <v>45992</v>
      </c>
    </row>
    <row r="868" spans="1:18" x14ac:dyDescent="0.25">
      <c r="A868" s="5" t="s">
        <v>1554</v>
      </c>
      <c r="B868" s="14">
        <v>45856</v>
      </c>
      <c r="C868" s="5" t="s">
        <v>1555</v>
      </c>
      <c r="D868" s="10" t="s">
        <v>37</v>
      </c>
      <c r="E868" s="10" t="s">
        <v>43</v>
      </c>
      <c r="F868" s="10" t="s">
        <v>22</v>
      </c>
      <c r="G868" s="15">
        <v>4</v>
      </c>
      <c r="H868" s="11">
        <v>3678.2680999999998</v>
      </c>
      <c r="I868" s="12">
        <v>25</v>
      </c>
      <c r="J868" s="11">
        <v>11034.8043</v>
      </c>
      <c r="K868" s="11">
        <v>6858.7824000000001</v>
      </c>
      <c r="L868" s="10" t="s">
        <v>17</v>
      </c>
      <c r="M868" s="5">
        <f t="shared" si="78"/>
        <v>2025</v>
      </c>
      <c r="N868" s="5">
        <f t="shared" si="79"/>
        <v>7</v>
      </c>
      <c r="O868" s="21">
        <f t="shared" si="80"/>
        <v>45839</v>
      </c>
      <c r="P868" s="13">
        <f t="shared" si="81"/>
        <v>0.62155904296372522</v>
      </c>
      <c r="Q868" s="5">
        <f t="shared" si="82"/>
        <v>202507</v>
      </c>
      <c r="R868" s="21">
        <f t="shared" si="83"/>
        <v>45839</v>
      </c>
    </row>
    <row r="869" spans="1:18" x14ac:dyDescent="0.25">
      <c r="A869" s="5" t="s">
        <v>1556</v>
      </c>
      <c r="B869" s="14">
        <v>45783</v>
      </c>
      <c r="C869" s="5" t="s">
        <v>1557</v>
      </c>
      <c r="D869" s="10" t="s">
        <v>26</v>
      </c>
      <c r="E869" s="10" t="s">
        <v>91</v>
      </c>
      <c r="F869" s="10" t="s">
        <v>49</v>
      </c>
      <c r="G869" s="15">
        <v>2</v>
      </c>
      <c r="H869" s="11">
        <v>4503.4417000000003</v>
      </c>
      <c r="I869" s="12">
        <v>10</v>
      </c>
      <c r="J869" s="11">
        <v>8106.005799999999</v>
      </c>
      <c r="K869" s="11">
        <v>3045.1933999999997</v>
      </c>
      <c r="L869" s="10" t="s">
        <v>17</v>
      </c>
      <c r="M869" s="5">
        <f t="shared" si="78"/>
        <v>2025</v>
      </c>
      <c r="N869" s="5">
        <f t="shared" si="79"/>
        <v>5</v>
      </c>
      <c r="O869" s="21">
        <f t="shared" si="80"/>
        <v>45778</v>
      </c>
      <c r="P869" s="13">
        <f t="shared" si="81"/>
        <v>0.3756712584636937</v>
      </c>
      <c r="Q869" s="5">
        <f t="shared" si="82"/>
        <v>202505</v>
      </c>
      <c r="R869" s="21">
        <f t="shared" si="83"/>
        <v>45778</v>
      </c>
    </row>
    <row r="870" spans="1:18" x14ac:dyDescent="0.25">
      <c r="A870" s="5" t="s">
        <v>1558</v>
      </c>
      <c r="B870" s="14">
        <v>45341</v>
      </c>
      <c r="C870" s="5" t="s">
        <v>584</v>
      </c>
      <c r="D870" s="10" t="s">
        <v>26</v>
      </c>
      <c r="E870" s="10" t="s">
        <v>61</v>
      </c>
      <c r="F870" s="10" t="s">
        <v>39</v>
      </c>
      <c r="G870" s="15">
        <v>1</v>
      </c>
      <c r="H870" s="11">
        <v>2917.4428999999996</v>
      </c>
      <c r="I870" s="12">
        <v>10</v>
      </c>
      <c r="J870" s="11">
        <v>2625.9825000000001</v>
      </c>
      <c r="K870" s="11">
        <v>639.69880000000001</v>
      </c>
      <c r="L870" s="10" t="s">
        <v>17</v>
      </c>
      <c r="M870" s="5">
        <f t="shared" si="78"/>
        <v>2024</v>
      </c>
      <c r="N870" s="5">
        <f t="shared" si="79"/>
        <v>2</v>
      </c>
      <c r="O870" s="21">
        <f t="shared" si="80"/>
        <v>45323</v>
      </c>
      <c r="P870" s="13">
        <f t="shared" si="81"/>
        <v>0.24360360360360359</v>
      </c>
      <c r="Q870" s="5">
        <f t="shared" si="82"/>
        <v>202402</v>
      </c>
      <c r="R870" s="21">
        <f t="shared" si="83"/>
        <v>45323</v>
      </c>
    </row>
    <row r="871" spans="1:18" x14ac:dyDescent="0.25">
      <c r="A871" s="5" t="s">
        <v>1559</v>
      </c>
      <c r="B871" s="14">
        <v>45969</v>
      </c>
      <c r="C871" s="5" t="s">
        <v>1553</v>
      </c>
      <c r="D871" s="10" t="s">
        <v>20</v>
      </c>
      <c r="E871" s="10" t="s">
        <v>222</v>
      </c>
      <c r="F871" s="10" t="s">
        <v>22</v>
      </c>
      <c r="G871" s="15">
        <v>3</v>
      </c>
      <c r="H871" s="11">
        <v>3296.9092000000001</v>
      </c>
      <c r="I871" s="12">
        <v>15</v>
      </c>
      <c r="J871" s="11">
        <v>8406.9292000000005</v>
      </c>
      <c r="K871" s="11">
        <v>4925.4914999999992</v>
      </c>
      <c r="L871" s="10" t="s">
        <v>17</v>
      </c>
      <c r="M871" s="5">
        <f t="shared" si="78"/>
        <v>2025</v>
      </c>
      <c r="N871" s="5">
        <f t="shared" si="79"/>
        <v>11</v>
      </c>
      <c r="O871" s="21">
        <f t="shared" si="80"/>
        <v>45962</v>
      </c>
      <c r="P871" s="13">
        <f t="shared" si="81"/>
        <v>0.58588473660513274</v>
      </c>
      <c r="Q871" s="5">
        <f t="shared" si="82"/>
        <v>202511</v>
      </c>
      <c r="R871" s="21">
        <f t="shared" si="83"/>
        <v>45962</v>
      </c>
    </row>
    <row r="872" spans="1:18" x14ac:dyDescent="0.25">
      <c r="A872" s="5" t="s">
        <v>1560</v>
      </c>
      <c r="B872" s="14">
        <v>45987</v>
      </c>
      <c r="C872" s="5" t="s">
        <v>745</v>
      </c>
      <c r="D872" s="10" t="s">
        <v>14</v>
      </c>
      <c r="E872" s="10" t="s">
        <v>94</v>
      </c>
      <c r="F872" s="10" t="s">
        <v>75</v>
      </c>
      <c r="G872" s="15">
        <v>4</v>
      </c>
      <c r="H872" s="11">
        <v>5393.91</v>
      </c>
      <c r="I872" s="12">
        <v>0</v>
      </c>
      <c r="J872" s="11">
        <v>21575.64</v>
      </c>
      <c r="K872" s="11">
        <v>5985.3474999999999</v>
      </c>
      <c r="L872" s="10" t="s">
        <v>17</v>
      </c>
      <c r="M872" s="5">
        <f t="shared" si="78"/>
        <v>2025</v>
      </c>
      <c r="N872" s="5">
        <f t="shared" si="79"/>
        <v>11</v>
      </c>
      <c r="O872" s="21">
        <f t="shared" si="80"/>
        <v>45962</v>
      </c>
      <c r="P872" s="13">
        <f t="shared" si="81"/>
        <v>0.27741228070175439</v>
      </c>
      <c r="Q872" s="5">
        <f t="shared" si="82"/>
        <v>202511</v>
      </c>
      <c r="R872" s="21">
        <f t="shared" si="83"/>
        <v>45962</v>
      </c>
    </row>
    <row r="873" spans="1:18" x14ac:dyDescent="0.25">
      <c r="A873" s="5" t="s">
        <v>1561</v>
      </c>
      <c r="B873" s="14">
        <v>45883</v>
      </c>
      <c r="C873" s="5" t="s">
        <v>1562</v>
      </c>
      <c r="D873" s="10" t="s">
        <v>37</v>
      </c>
      <c r="E873" s="10" t="s">
        <v>502</v>
      </c>
      <c r="F873" s="10" t="s">
        <v>22</v>
      </c>
      <c r="G873" s="15">
        <v>1</v>
      </c>
      <c r="H873" s="11">
        <v>2907.0335999999998</v>
      </c>
      <c r="I873" s="12">
        <v>5</v>
      </c>
      <c r="J873" s="11">
        <v>2761.3033999999998</v>
      </c>
      <c r="K873" s="11">
        <v>1612.4951999999998</v>
      </c>
      <c r="L873" s="10" t="s">
        <v>23</v>
      </c>
      <c r="M873" s="5">
        <f t="shared" si="78"/>
        <v>2025</v>
      </c>
      <c r="N873" s="5">
        <f t="shared" si="79"/>
        <v>8</v>
      </c>
      <c r="O873" s="21">
        <f t="shared" si="80"/>
        <v>45870</v>
      </c>
      <c r="P873" s="13">
        <f t="shared" si="81"/>
        <v>0.58396161754626452</v>
      </c>
      <c r="Q873" s="5">
        <f t="shared" si="82"/>
        <v>202508</v>
      </c>
      <c r="R873" s="21">
        <f t="shared" si="83"/>
        <v>45870</v>
      </c>
    </row>
    <row r="874" spans="1:18" x14ac:dyDescent="0.25">
      <c r="A874" s="5" t="s">
        <v>1563</v>
      </c>
      <c r="B874" s="14">
        <v>45320</v>
      </c>
      <c r="C874" s="5" t="s">
        <v>1564</v>
      </c>
      <c r="D874" s="10" t="s">
        <v>42</v>
      </c>
      <c r="E874" s="10" t="s">
        <v>232</v>
      </c>
      <c r="F874" s="10" t="s">
        <v>22</v>
      </c>
      <c r="G874" s="15">
        <v>1</v>
      </c>
      <c r="H874" s="11">
        <v>2486.8764000000001</v>
      </c>
      <c r="I874" s="12">
        <v>0</v>
      </c>
      <c r="J874" s="11">
        <v>2486.8764000000001</v>
      </c>
      <c r="K874" s="11">
        <v>1151.6470999999999</v>
      </c>
      <c r="L874" s="10" t="s">
        <v>23</v>
      </c>
      <c r="M874" s="5">
        <f t="shared" si="78"/>
        <v>2024</v>
      </c>
      <c r="N874" s="5">
        <f t="shared" si="79"/>
        <v>1</v>
      </c>
      <c r="O874" s="21">
        <f t="shared" si="80"/>
        <v>45292</v>
      </c>
      <c r="P874" s="13">
        <f t="shared" si="81"/>
        <v>0.46308980213089795</v>
      </c>
      <c r="Q874" s="5">
        <f t="shared" si="82"/>
        <v>202401</v>
      </c>
      <c r="R874" s="21">
        <f t="shared" si="83"/>
        <v>45292</v>
      </c>
    </row>
    <row r="875" spans="1:18" x14ac:dyDescent="0.25">
      <c r="A875" s="5" t="s">
        <v>1565</v>
      </c>
      <c r="B875" s="14">
        <v>45954</v>
      </c>
      <c r="C875" s="5" t="s">
        <v>82</v>
      </c>
      <c r="D875" s="10" t="s">
        <v>26</v>
      </c>
      <c r="E875" s="10" t="s">
        <v>38</v>
      </c>
      <c r="F875" s="10" t="s">
        <v>39</v>
      </c>
      <c r="G875" s="15">
        <v>2</v>
      </c>
      <c r="H875" s="11">
        <v>2463.2188999999998</v>
      </c>
      <c r="I875" s="12">
        <v>0</v>
      </c>
      <c r="J875" s="11">
        <v>4926.4377999999997</v>
      </c>
      <c r="K875" s="11">
        <v>1145.0229999999999</v>
      </c>
      <c r="L875" s="10" t="s">
        <v>23</v>
      </c>
      <c r="M875" s="5">
        <f t="shared" si="78"/>
        <v>2025</v>
      </c>
      <c r="N875" s="5">
        <f t="shared" si="79"/>
        <v>10</v>
      </c>
      <c r="O875" s="21">
        <f t="shared" si="80"/>
        <v>45931</v>
      </c>
      <c r="P875" s="13">
        <f t="shared" si="81"/>
        <v>0.23242412600845178</v>
      </c>
      <c r="Q875" s="5">
        <f t="shared" si="82"/>
        <v>202510</v>
      </c>
      <c r="R875" s="21">
        <f t="shared" si="83"/>
        <v>45931</v>
      </c>
    </row>
    <row r="876" spans="1:18" x14ac:dyDescent="0.25">
      <c r="A876" s="5" t="s">
        <v>1566</v>
      </c>
      <c r="B876" s="14">
        <v>45637</v>
      </c>
      <c r="C876" s="5" t="s">
        <v>1567</v>
      </c>
      <c r="D876" s="10" t="s">
        <v>42</v>
      </c>
      <c r="E876" s="10" t="s">
        <v>133</v>
      </c>
      <c r="F876" s="10" t="s">
        <v>75</v>
      </c>
      <c r="G876" s="15">
        <v>2</v>
      </c>
      <c r="H876" s="11">
        <v>2768.8737999999998</v>
      </c>
      <c r="I876" s="12">
        <v>5</v>
      </c>
      <c r="J876" s="11">
        <v>5260.4817000000003</v>
      </c>
      <c r="K876" s="11">
        <v>1517.8652</v>
      </c>
      <c r="L876" s="10" t="s">
        <v>17</v>
      </c>
      <c r="M876" s="5">
        <f t="shared" si="78"/>
        <v>2024</v>
      </c>
      <c r="N876" s="5">
        <f t="shared" si="79"/>
        <v>12</v>
      </c>
      <c r="O876" s="21">
        <f t="shared" si="80"/>
        <v>45627</v>
      </c>
      <c r="P876" s="13">
        <f t="shared" si="81"/>
        <v>0.28854110451520054</v>
      </c>
      <c r="Q876" s="5">
        <f t="shared" si="82"/>
        <v>202412</v>
      </c>
      <c r="R876" s="21">
        <f t="shared" si="83"/>
        <v>45627</v>
      </c>
    </row>
    <row r="877" spans="1:18" x14ac:dyDescent="0.25">
      <c r="A877" s="5" t="s">
        <v>1568</v>
      </c>
      <c r="B877" s="14">
        <v>45544</v>
      </c>
      <c r="C877" s="5" t="s">
        <v>210</v>
      </c>
      <c r="D877" s="10" t="s">
        <v>14</v>
      </c>
      <c r="E877" s="10" t="s">
        <v>227</v>
      </c>
      <c r="F877" s="10" t="s">
        <v>39</v>
      </c>
      <c r="G877" s="15">
        <v>2</v>
      </c>
      <c r="H877" s="11">
        <v>3431.2837999999997</v>
      </c>
      <c r="I877" s="12">
        <v>0</v>
      </c>
      <c r="J877" s="11">
        <v>6862.5675999999994</v>
      </c>
      <c r="K877" s="11">
        <v>2366.6963000000001</v>
      </c>
      <c r="L877" s="10" t="s">
        <v>23</v>
      </c>
      <c r="M877" s="5">
        <f t="shared" si="78"/>
        <v>2024</v>
      </c>
      <c r="N877" s="5">
        <f t="shared" si="79"/>
        <v>9</v>
      </c>
      <c r="O877" s="21">
        <f t="shared" si="80"/>
        <v>45536</v>
      </c>
      <c r="P877" s="13">
        <f t="shared" si="81"/>
        <v>0.34487038058466635</v>
      </c>
      <c r="Q877" s="5">
        <f t="shared" si="82"/>
        <v>202409</v>
      </c>
      <c r="R877" s="21">
        <f t="shared" si="83"/>
        <v>45536</v>
      </c>
    </row>
    <row r="878" spans="1:18" x14ac:dyDescent="0.25">
      <c r="A878" s="5" t="s">
        <v>1569</v>
      </c>
      <c r="B878" s="14">
        <v>45932</v>
      </c>
      <c r="C878" s="5" t="s">
        <v>1570</v>
      </c>
      <c r="D878" s="10" t="s">
        <v>37</v>
      </c>
      <c r="E878" s="10" t="s">
        <v>30</v>
      </c>
      <c r="F878" s="10" t="s">
        <v>16</v>
      </c>
      <c r="G878" s="15">
        <v>2</v>
      </c>
      <c r="H878" s="11">
        <v>9456.3759000000009</v>
      </c>
      <c r="I878" s="12">
        <v>10</v>
      </c>
      <c r="J878" s="11">
        <v>17021.098099999999</v>
      </c>
      <c r="K878" s="11">
        <v>3722.7442000000001</v>
      </c>
      <c r="L878" s="10" t="s">
        <v>23</v>
      </c>
      <c r="M878" s="5">
        <f t="shared" si="78"/>
        <v>2025</v>
      </c>
      <c r="N878" s="5">
        <f t="shared" si="79"/>
        <v>10</v>
      </c>
      <c r="O878" s="21">
        <f t="shared" si="80"/>
        <v>45931</v>
      </c>
      <c r="P878" s="13">
        <f t="shared" si="81"/>
        <v>0.21871351531661756</v>
      </c>
      <c r="Q878" s="5">
        <f t="shared" si="82"/>
        <v>202510</v>
      </c>
      <c r="R878" s="21">
        <f t="shared" si="83"/>
        <v>45931</v>
      </c>
    </row>
    <row r="879" spans="1:18" x14ac:dyDescent="0.25">
      <c r="A879" s="5" t="s">
        <v>1571</v>
      </c>
      <c r="B879" s="14">
        <v>45829</v>
      </c>
      <c r="C879" s="5" t="s">
        <v>552</v>
      </c>
      <c r="D879" s="10" t="s">
        <v>14</v>
      </c>
      <c r="E879" s="10" t="s">
        <v>21</v>
      </c>
      <c r="F879" s="10" t="s">
        <v>22</v>
      </c>
      <c r="G879" s="15">
        <v>3</v>
      </c>
      <c r="H879" s="11">
        <v>4467.4822999999997</v>
      </c>
      <c r="I879" s="12">
        <v>10</v>
      </c>
      <c r="J879" s="11">
        <v>12062.4861</v>
      </c>
      <c r="K879" s="11">
        <v>6781.1857999999993</v>
      </c>
      <c r="L879" s="10" t="s">
        <v>17</v>
      </c>
      <c r="M879" s="5">
        <f t="shared" si="78"/>
        <v>2025</v>
      </c>
      <c r="N879" s="5">
        <f t="shared" si="79"/>
        <v>6</v>
      </c>
      <c r="O879" s="21">
        <f t="shared" si="80"/>
        <v>45809</v>
      </c>
      <c r="P879" s="13">
        <f t="shared" si="81"/>
        <v>0.56217149133129363</v>
      </c>
      <c r="Q879" s="5">
        <f t="shared" si="82"/>
        <v>202506</v>
      </c>
      <c r="R879" s="21">
        <f t="shared" si="83"/>
        <v>45809</v>
      </c>
    </row>
    <row r="880" spans="1:18" x14ac:dyDescent="0.25">
      <c r="A880" s="5" t="s">
        <v>1572</v>
      </c>
      <c r="B880" s="14">
        <v>45343</v>
      </c>
      <c r="C880" s="5" t="s">
        <v>320</v>
      </c>
      <c r="D880" s="10" t="s">
        <v>42</v>
      </c>
      <c r="E880" s="10" t="s">
        <v>184</v>
      </c>
      <c r="F880" s="10" t="s">
        <v>49</v>
      </c>
      <c r="G880" s="15">
        <v>1</v>
      </c>
      <c r="H880" s="11">
        <v>8036.9259000000002</v>
      </c>
      <c r="I880" s="12">
        <v>15</v>
      </c>
      <c r="J880" s="11">
        <v>6831.3396999999995</v>
      </c>
      <c r="K880" s="11">
        <v>3590.2621999999997</v>
      </c>
      <c r="L880" s="10" t="s">
        <v>23</v>
      </c>
      <c r="M880" s="5">
        <f t="shared" si="78"/>
        <v>2024</v>
      </c>
      <c r="N880" s="5">
        <f t="shared" si="79"/>
        <v>2</v>
      </c>
      <c r="O880" s="21">
        <f t="shared" si="80"/>
        <v>45323</v>
      </c>
      <c r="P880" s="13">
        <f t="shared" si="81"/>
        <v>0.52555755644826152</v>
      </c>
      <c r="Q880" s="5">
        <f t="shared" si="82"/>
        <v>202402</v>
      </c>
      <c r="R880" s="21">
        <f t="shared" si="83"/>
        <v>45323</v>
      </c>
    </row>
    <row r="881" spans="1:18" x14ac:dyDescent="0.25">
      <c r="A881" s="5" t="s">
        <v>1573</v>
      </c>
      <c r="B881" s="14">
        <v>45422</v>
      </c>
      <c r="C881" s="5" t="s">
        <v>670</v>
      </c>
      <c r="D881" s="10" t="s">
        <v>42</v>
      </c>
      <c r="E881" s="10" t="s">
        <v>154</v>
      </c>
      <c r="F881" s="10" t="s">
        <v>39</v>
      </c>
      <c r="G881" s="15">
        <v>2</v>
      </c>
      <c r="H881" s="11">
        <v>1733.6215999999999</v>
      </c>
      <c r="I881" s="12">
        <v>25</v>
      </c>
      <c r="J881" s="11">
        <v>2600.4323999999997</v>
      </c>
      <c r="K881" s="11">
        <v>590.49119999999994</v>
      </c>
      <c r="L881" s="10" t="s">
        <v>23</v>
      </c>
      <c r="M881" s="5">
        <f t="shared" si="78"/>
        <v>2024</v>
      </c>
      <c r="N881" s="5">
        <f t="shared" si="79"/>
        <v>5</v>
      </c>
      <c r="O881" s="21">
        <f t="shared" si="80"/>
        <v>45413</v>
      </c>
      <c r="P881" s="13">
        <f t="shared" si="81"/>
        <v>0.22707423580786026</v>
      </c>
      <c r="Q881" s="5">
        <f t="shared" si="82"/>
        <v>202405</v>
      </c>
      <c r="R881" s="21">
        <f t="shared" si="83"/>
        <v>45413</v>
      </c>
    </row>
    <row r="882" spans="1:18" x14ac:dyDescent="0.25">
      <c r="A882" s="5" t="s">
        <v>1574</v>
      </c>
      <c r="B882" s="14">
        <v>45506</v>
      </c>
      <c r="C882" s="5" t="s">
        <v>1575</v>
      </c>
      <c r="D882" s="10" t="s">
        <v>42</v>
      </c>
      <c r="E882" s="10" t="s">
        <v>232</v>
      </c>
      <c r="F882" s="10" t="s">
        <v>22</v>
      </c>
      <c r="G882" s="15">
        <v>3</v>
      </c>
      <c r="H882" s="11">
        <v>1161.1100999999999</v>
      </c>
      <c r="I882" s="12">
        <v>0</v>
      </c>
      <c r="J882" s="11">
        <v>3483.3303000000001</v>
      </c>
      <c r="K882" s="11">
        <v>1896.3851999999999</v>
      </c>
      <c r="L882" s="10" t="s">
        <v>17</v>
      </c>
      <c r="M882" s="5">
        <f t="shared" si="78"/>
        <v>2024</v>
      </c>
      <c r="N882" s="5">
        <f t="shared" si="79"/>
        <v>8</v>
      </c>
      <c r="O882" s="21">
        <f t="shared" si="80"/>
        <v>45505</v>
      </c>
      <c r="P882" s="13">
        <f t="shared" si="81"/>
        <v>0.54441727791361039</v>
      </c>
      <c r="Q882" s="5">
        <f t="shared" si="82"/>
        <v>202408</v>
      </c>
      <c r="R882" s="21">
        <f t="shared" si="83"/>
        <v>45505</v>
      </c>
    </row>
    <row r="883" spans="1:18" x14ac:dyDescent="0.25">
      <c r="A883" s="5" t="s">
        <v>1576</v>
      </c>
      <c r="B883" s="14">
        <v>45645</v>
      </c>
      <c r="C883" s="5" t="s">
        <v>590</v>
      </c>
      <c r="D883" s="10" t="s">
        <v>20</v>
      </c>
      <c r="E883" s="10" t="s">
        <v>211</v>
      </c>
      <c r="F883" s="10" t="s">
        <v>39</v>
      </c>
      <c r="G883" s="15">
        <v>2</v>
      </c>
      <c r="H883" s="11">
        <v>1469.6038999999998</v>
      </c>
      <c r="I883" s="12">
        <v>25</v>
      </c>
      <c r="J883" s="11">
        <v>2204.8789999999999</v>
      </c>
      <c r="K883" s="11">
        <v>653.89329999999995</v>
      </c>
      <c r="L883" s="10" t="s">
        <v>17</v>
      </c>
      <c r="M883" s="5">
        <f t="shared" si="78"/>
        <v>2024</v>
      </c>
      <c r="N883" s="5">
        <f t="shared" si="79"/>
        <v>12</v>
      </c>
      <c r="O883" s="21">
        <f t="shared" si="80"/>
        <v>45627</v>
      </c>
      <c r="P883" s="13">
        <f t="shared" si="81"/>
        <v>0.29656652360515023</v>
      </c>
      <c r="Q883" s="5">
        <f t="shared" si="82"/>
        <v>202412</v>
      </c>
      <c r="R883" s="21">
        <f t="shared" si="83"/>
        <v>45627</v>
      </c>
    </row>
    <row r="884" spans="1:18" x14ac:dyDescent="0.25">
      <c r="A884" s="5" t="s">
        <v>1577</v>
      </c>
      <c r="B884" s="14">
        <v>45771</v>
      </c>
      <c r="C884" s="5" t="s">
        <v>1578</v>
      </c>
      <c r="D884" s="10" t="s">
        <v>20</v>
      </c>
      <c r="E884" s="10" t="s">
        <v>314</v>
      </c>
      <c r="F884" s="10" t="s">
        <v>16</v>
      </c>
      <c r="G884" s="15">
        <v>5</v>
      </c>
      <c r="H884" s="11">
        <v>8386.1106</v>
      </c>
      <c r="I884" s="12">
        <v>5</v>
      </c>
      <c r="J884" s="11">
        <v>39834.498499999994</v>
      </c>
      <c r="K884" s="11">
        <v>6972.3384000000005</v>
      </c>
      <c r="L884" s="10" t="s">
        <v>23</v>
      </c>
      <c r="M884" s="5">
        <f t="shared" si="78"/>
        <v>2025</v>
      </c>
      <c r="N884" s="5">
        <f t="shared" si="79"/>
        <v>4</v>
      </c>
      <c r="O884" s="21">
        <f t="shared" si="80"/>
        <v>45748</v>
      </c>
      <c r="P884" s="13">
        <f t="shared" si="81"/>
        <v>0.1750326642119017</v>
      </c>
      <c r="Q884" s="5">
        <f t="shared" si="82"/>
        <v>202504</v>
      </c>
      <c r="R884" s="21">
        <f t="shared" si="83"/>
        <v>45748</v>
      </c>
    </row>
    <row r="885" spans="1:18" x14ac:dyDescent="0.25">
      <c r="A885" s="5" t="s">
        <v>1579</v>
      </c>
      <c r="B885" s="14">
        <v>45838</v>
      </c>
      <c r="C885" s="5" t="s">
        <v>1580</v>
      </c>
      <c r="D885" s="10" t="s">
        <v>14</v>
      </c>
      <c r="E885" s="10" t="s">
        <v>154</v>
      </c>
      <c r="F885" s="10" t="s">
        <v>39</v>
      </c>
      <c r="G885" s="15">
        <v>2</v>
      </c>
      <c r="H885" s="11">
        <v>1335.2293</v>
      </c>
      <c r="I885" s="12">
        <v>10</v>
      </c>
      <c r="J885" s="11">
        <v>2403.6019999999999</v>
      </c>
      <c r="K885" s="11">
        <v>704.99349999999993</v>
      </c>
      <c r="L885" s="10" t="s">
        <v>23</v>
      </c>
      <c r="M885" s="5">
        <f t="shared" si="78"/>
        <v>2025</v>
      </c>
      <c r="N885" s="5">
        <f t="shared" si="79"/>
        <v>6</v>
      </c>
      <c r="O885" s="21">
        <f t="shared" si="80"/>
        <v>45809</v>
      </c>
      <c r="P885" s="13">
        <f t="shared" si="81"/>
        <v>0.29330708661417321</v>
      </c>
      <c r="Q885" s="5">
        <f t="shared" si="82"/>
        <v>202506</v>
      </c>
      <c r="R885" s="21">
        <f t="shared" si="83"/>
        <v>45809</v>
      </c>
    </row>
    <row r="886" spans="1:18" x14ac:dyDescent="0.25">
      <c r="A886" s="5" t="s">
        <v>1581</v>
      </c>
      <c r="B886" s="14">
        <v>45677</v>
      </c>
      <c r="C886" s="5" t="s">
        <v>1582</v>
      </c>
      <c r="D886" s="10" t="s">
        <v>14</v>
      </c>
      <c r="E886" s="10" t="s">
        <v>30</v>
      </c>
      <c r="F886" s="10" t="s">
        <v>16</v>
      </c>
      <c r="G886" s="15">
        <v>1</v>
      </c>
      <c r="H886" s="11">
        <v>11837.2667</v>
      </c>
      <c r="I886" s="12">
        <v>0</v>
      </c>
      <c r="J886" s="11">
        <v>11837.2667</v>
      </c>
      <c r="K886" s="11">
        <v>2138.6379999999999</v>
      </c>
      <c r="L886" s="10" t="s">
        <v>23</v>
      </c>
      <c r="M886" s="5">
        <f t="shared" si="78"/>
        <v>2025</v>
      </c>
      <c r="N886" s="5">
        <f t="shared" si="79"/>
        <v>1</v>
      </c>
      <c r="O886" s="21">
        <f t="shared" si="80"/>
        <v>45658</v>
      </c>
      <c r="P886" s="13">
        <f t="shared" si="81"/>
        <v>0.18066991765928531</v>
      </c>
      <c r="Q886" s="5">
        <f t="shared" si="82"/>
        <v>202501</v>
      </c>
      <c r="R886" s="21">
        <f t="shared" si="83"/>
        <v>45658</v>
      </c>
    </row>
    <row r="887" spans="1:18" x14ac:dyDescent="0.25">
      <c r="A887" s="5" t="s">
        <v>1583</v>
      </c>
      <c r="B887" s="14">
        <v>45616</v>
      </c>
      <c r="C887" s="5" t="s">
        <v>1584</v>
      </c>
      <c r="D887" s="10" t="s">
        <v>14</v>
      </c>
      <c r="E887" s="10" t="s">
        <v>222</v>
      </c>
      <c r="F887" s="10" t="s">
        <v>22</v>
      </c>
      <c r="G887" s="15">
        <v>1</v>
      </c>
      <c r="H887" s="11">
        <v>1164.8952999999999</v>
      </c>
      <c r="I887" s="12">
        <v>10</v>
      </c>
      <c r="J887" s="11">
        <v>1048.5003999999999</v>
      </c>
      <c r="K887" s="11">
        <v>442.86839999999995</v>
      </c>
      <c r="L887" s="10" t="s">
        <v>34</v>
      </c>
      <c r="M887" s="5">
        <f t="shared" si="78"/>
        <v>2024</v>
      </c>
      <c r="N887" s="5">
        <f t="shared" si="79"/>
        <v>11</v>
      </c>
      <c r="O887" s="21">
        <f t="shared" si="80"/>
        <v>45597</v>
      </c>
      <c r="P887" s="13">
        <f t="shared" si="81"/>
        <v>0.42238267148014441</v>
      </c>
      <c r="Q887" s="5">
        <f t="shared" si="82"/>
        <v>202411</v>
      </c>
      <c r="R887" s="21">
        <f t="shared" si="83"/>
        <v>45597</v>
      </c>
    </row>
    <row r="888" spans="1:18" x14ac:dyDescent="0.25">
      <c r="A888" s="5" t="s">
        <v>1585</v>
      </c>
      <c r="B888" s="14">
        <v>45423</v>
      </c>
      <c r="C888" s="5" t="s">
        <v>584</v>
      </c>
      <c r="D888" s="10" t="s">
        <v>20</v>
      </c>
      <c r="E888" s="10" t="s">
        <v>184</v>
      </c>
      <c r="F888" s="10" t="s">
        <v>49</v>
      </c>
      <c r="G888" s="15">
        <v>4</v>
      </c>
      <c r="H888" s="11">
        <v>8101.2742999999991</v>
      </c>
      <c r="I888" s="12">
        <v>0</v>
      </c>
      <c r="J888" s="11">
        <v>32405.097199999997</v>
      </c>
      <c r="K888" s="11">
        <v>15767.250599999999</v>
      </c>
      <c r="L888" s="10" t="s">
        <v>17</v>
      </c>
      <c r="M888" s="5">
        <f t="shared" si="78"/>
        <v>2024</v>
      </c>
      <c r="N888" s="5">
        <f t="shared" si="79"/>
        <v>5</v>
      </c>
      <c r="O888" s="21">
        <f t="shared" si="80"/>
        <v>45413</v>
      </c>
      <c r="P888" s="13">
        <f t="shared" si="81"/>
        <v>0.4865669898376358</v>
      </c>
      <c r="Q888" s="5">
        <f t="shared" si="82"/>
        <v>202405</v>
      </c>
      <c r="R888" s="21">
        <f t="shared" si="83"/>
        <v>45413</v>
      </c>
    </row>
    <row r="889" spans="1:18" x14ac:dyDescent="0.25">
      <c r="A889" s="5" t="s">
        <v>1586</v>
      </c>
      <c r="B889" s="14">
        <v>45834</v>
      </c>
      <c r="C889" s="5" t="s">
        <v>1587</v>
      </c>
      <c r="D889" s="10" t="s">
        <v>20</v>
      </c>
      <c r="E889" s="10" t="s">
        <v>91</v>
      </c>
      <c r="F889" s="10" t="s">
        <v>49</v>
      </c>
      <c r="G889" s="15">
        <v>2</v>
      </c>
      <c r="H889" s="11">
        <v>3493.7395999999999</v>
      </c>
      <c r="I889" s="12">
        <v>10</v>
      </c>
      <c r="J889" s="11">
        <v>6289.1097999999993</v>
      </c>
      <c r="K889" s="11">
        <v>2932.5836999999997</v>
      </c>
      <c r="L889" s="10" t="s">
        <v>23</v>
      </c>
      <c r="M889" s="5">
        <f t="shared" si="78"/>
        <v>2025</v>
      </c>
      <c r="N889" s="5">
        <f t="shared" si="79"/>
        <v>6</v>
      </c>
      <c r="O889" s="21">
        <f t="shared" si="80"/>
        <v>45809</v>
      </c>
      <c r="P889" s="13">
        <f t="shared" si="81"/>
        <v>0.46629551609990971</v>
      </c>
      <c r="Q889" s="5">
        <f t="shared" si="82"/>
        <v>202506</v>
      </c>
      <c r="R889" s="21">
        <f t="shared" si="83"/>
        <v>45809</v>
      </c>
    </row>
    <row r="890" spans="1:18" x14ac:dyDescent="0.25">
      <c r="A890" s="5" t="s">
        <v>1588</v>
      </c>
      <c r="B890" s="14">
        <v>46000</v>
      </c>
      <c r="C890" s="5" t="s">
        <v>1589</v>
      </c>
      <c r="D890" s="10" t="s">
        <v>20</v>
      </c>
      <c r="E890" s="10" t="s">
        <v>222</v>
      </c>
      <c r="F890" s="10" t="s">
        <v>22</v>
      </c>
      <c r="G890" s="15">
        <v>1</v>
      </c>
      <c r="H890" s="11">
        <v>999.29279999999994</v>
      </c>
      <c r="I890" s="12">
        <v>10</v>
      </c>
      <c r="J890" s="11">
        <v>898.9849999999999</v>
      </c>
      <c r="K890" s="11">
        <v>458.95549999999997</v>
      </c>
      <c r="L890" s="10" t="s">
        <v>17</v>
      </c>
      <c r="M890" s="5">
        <f t="shared" si="78"/>
        <v>2025</v>
      </c>
      <c r="N890" s="5">
        <f t="shared" si="79"/>
        <v>12</v>
      </c>
      <c r="O890" s="21">
        <f t="shared" si="80"/>
        <v>45992</v>
      </c>
      <c r="P890" s="13">
        <f t="shared" si="81"/>
        <v>0.51052631578947372</v>
      </c>
      <c r="Q890" s="5">
        <f t="shared" si="82"/>
        <v>202512</v>
      </c>
      <c r="R890" s="21">
        <f t="shared" si="83"/>
        <v>45992</v>
      </c>
    </row>
    <row r="891" spans="1:18" x14ac:dyDescent="0.25">
      <c r="A891" s="5" t="s">
        <v>1590</v>
      </c>
      <c r="B891" s="14">
        <v>45456</v>
      </c>
      <c r="C891" s="5" t="s">
        <v>1591</v>
      </c>
      <c r="D891" s="10" t="s">
        <v>26</v>
      </c>
      <c r="E891" s="10" t="s">
        <v>105</v>
      </c>
      <c r="F891" s="10" t="s">
        <v>39</v>
      </c>
      <c r="G891" s="15">
        <v>4</v>
      </c>
      <c r="H891" s="11">
        <v>5649.4110000000001</v>
      </c>
      <c r="I891" s="12">
        <v>25</v>
      </c>
      <c r="J891" s="11">
        <v>16948.233</v>
      </c>
      <c r="K891" s="11">
        <v>5715.652</v>
      </c>
      <c r="L891" s="10" t="s">
        <v>17</v>
      </c>
      <c r="M891" s="5">
        <f t="shared" si="78"/>
        <v>2024</v>
      </c>
      <c r="N891" s="5">
        <f t="shared" si="79"/>
        <v>6</v>
      </c>
      <c r="O891" s="21">
        <f t="shared" si="80"/>
        <v>45444</v>
      </c>
      <c r="P891" s="13">
        <f t="shared" si="81"/>
        <v>0.33724176437744274</v>
      </c>
      <c r="Q891" s="5">
        <f t="shared" si="82"/>
        <v>202406</v>
      </c>
      <c r="R891" s="21">
        <f t="shared" si="83"/>
        <v>45444</v>
      </c>
    </row>
    <row r="892" spans="1:18" x14ac:dyDescent="0.25">
      <c r="A892" s="5" t="s">
        <v>1592</v>
      </c>
      <c r="B892" s="14">
        <v>45756</v>
      </c>
      <c r="C892" s="5" t="s">
        <v>1593</v>
      </c>
      <c r="D892" s="10" t="s">
        <v>20</v>
      </c>
      <c r="E892" s="10" t="s">
        <v>324</v>
      </c>
      <c r="F892" s="10" t="s">
        <v>16</v>
      </c>
      <c r="G892" s="15">
        <v>1</v>
      </c>
      <c r="H892" s="11">
        <v>11099.152700000001</v>
      </c>
      <c r="I892" s="12">
        <v>10</v>
      </c>
      <c r="J892" s="11">
        <v>9989.1427999999996</v>
      </c>
      <c r="K892" s="11">
        <v>2372.3741</v>
      </c>
      <c r="L892" s="10" t="s">
        <v>17</v>
      </c>
      <c r="M892" s="5">
        <f t="shared" si="78"/>
        <v>2025</v>
      </c>
      <c r="N892" s="5">
        <f t="shared" si="79"/>
        <v>4</v>
      </c>
      <c r="O892" s="21">
        <f t="shared" si="80"/>
        <v>45748</v>
      </c>
      <c r="P892" s="13">
        <f t="shared" si="81"/>
        <v>0.23749526335733234</v>
      </c>
      <c r="Q892" s="5">
        <f t="shared" si="82"/>
        <v>202504</v>
      </c>
      <c r="R892" s="21">
        <f t="shared" si="83"/>
        <v>45748</v>
      </c>
    </row>
    <row r="893" spans="1:18" x14ac:dyDescent="0.25">
      <c r="A893" s="5" t="s">
        <v>1594</v>
      </c>
      <c r="B893" s="14">
        <v>45593</v>
      </c>
      <c r="C893" s="5" t="s">
        <v>1595</v>
      </c>
      <c r="D893" s="10" t="s">
        <v>37</v>
      </c>
      <c r="E893" s="10" t="s">
        <v>177</v>
      </c>
      <c r="F893" s="10" t="s">
        <v>49</v>
      </c>
      <c r="G893" s="15">
        <v>1</v>
      </c>
      <c r="H893" s="11">
        <v>5470.5603000000001</v>
      </c>
      <c r="I893" s="12">
        <v>5</v>
      </c>
      <c r="J893" s="11">
        <v>5197.0796</v>
      </c>
      <c r="K893" s="11">
        <v>1965.4650999999999</v>
      </c>
      <c r="L893" s="10" t="s">
        <v>17</v>
      </c>
      <c r="M893" s="5">
        <f t="shared" si="78"/>
        <v>2024</v>
      </c>
      <c r="N893" s="5">
        <f t="shared" si="79"/>
        <v>10</v>
      </c>
      <c r="O893" s="21">
        <f t="shared" si="80"/>
        <v>45566</v>
      </c>
      <c r="P893" s="13">
        <f t="shared" si="81"/>
        <v>0.37818645302257825</v>
      </c>
      <c r="Q893" s="5">
        <f t="shared" si="82"/>
        <v>202410</v>
      </c>
      <c r="R893" s="21">
        <f t="shared" si="83"/>
        <v>45566</v>
      </c>
    </row>
    <row r="894" spans="1:18" x14ac:dyDescent="0.25">
      <c r="A894" s="5" t="s">
        <v>1596</v>
      </c>
      <c r="B894" s="14">
        <v>45516</v>
      </c>
      <c r="C894" s="5" t="s">
        <v>1158</v>
      </c>
      <c r="D894" s="10" t="s">
        <v>20</v>
      </c>
      <c r="E894" s="10" t="s">
        <v>38</v>
      </c>
      <c r="F894" s="10" t="s">
        <v>39</v>
      </c>
      <c r="G894" s="15">
        <v>2</v>
      </c>
      <c r="H894" s="11">
        <v>7151.1890999999987</v>
      </c>
      <c r="I894" s="12">
        <v>10</v>
      </c>
      <c r="J894" s="11">
        <v>12872.518899999999</v>
      </c>
      <c r="K894" s="11">
        <v>2879.5908999999997</v>
      </c>
      <c r="L894" s="10" t="s">
        <v>17</v>
      </c>
      <c r="M894" s="5">
        <f t="shared" si="78"/>
        <v>2024</v>
      </c>
      <c r="N894" s="5">
        <f t="shared" si="79"/>
        <v>8</v>
      </c>
      <c r="O894" s="21">
        <f t="shared" si="80"/>
        <v>45505</v>
      </c>
      <c r="P894" s="13">
        <f t="shared" si="81"/>
        <v>0.22370065426744098</v>
      </c>
      <c r="Q894" s="5">
        <f t="shared" si="82"/>
        <v>202408</v>
      </c>
      <c r="R894" s="21">
        <f t="shared" si="83"/>
        <v>45505</v>
      </c>
    </row>
    <row r="895" spans="1:18" x14ac:dyDescent="0.25">
      <c r="A895" s="5" t="s">
        <v>1597</v>
      </c>
      <c r="B895" s="14">
        <v>45990</v>
      </c>
      <c r="C895" s="5" t="s">
        <v>285</v>
      </c>
      <c r="D895" s="10" t="s">
        <v>26</v>
      </c>
      <c r="E895" s="10" t="s">
        <v>253</v>
      </c>
      <c r="F895" s="10" t="s">
        <v>49</v>
      </c>
      <c r="G895" s="15">
        <v>2</v>
      </c>
      <c r="H895" s="11">
        <v>4630.2458999999999</v>
      </c>
      <c r="I895" s="12">
        <v>25</v>
      </c>
      <c r="J895" s="11">
        <v>6945.8420000000006</v>
      </c>
      <c r="K895" s="11">
        <v>2738.5922</v>
      </c>
      <c r="L895" s="10" t="s">
        <v>23</v>
      </c>
      <c r="M895" s="5">
        <f t="shared" si="78"/>
        <v>2025</v>
      </c>
      <c r="N895" s="5">
        <f t="shared" si="79"/>
        <v>11</v>
      </c>
      <c r="O895" s="21">
        <f t="shared" si="80"/>
        <v>45962</v>
      </c>
      <c r="P895" s="13">
        <f t="shared" si="81"/>
        <v>0.39427792915531334</v>
      </c>
      <c r="Q895" s="5">
        <f t="shared" si="82"/>
        <v>202511</v>
      </c>
      <c r="R895" s="21">
        <f t="shared" si="83"/>
        <v>45962</v>
      </c>
    </row>
    <row r="896" spans="1:18" x14ac:dyDescent="0.25">
      <c r="A896" s="5" t="s">
        <v>1598</v>
      </c>
      <c r="B896" s="14">
        <v>45518</v>
      </c>
      <c r="C896" s="5" t="s">
        <v>425</v>
      </c>
      <c r="D896" s="10" t="s">
        <v>26</v>
      </c>
      <c r="E896" s="10" t="s">
        <v>232</v>
      </c>
      <c r="F896" s="10" t="s">
        <v>22</v>
      </c>
      <c r="G896" s="15">
        <v>2</v>
      </c>
      <c r="H896" s="11">
        <v>2175.5436999999997</v>
      </c>
      <c r="I896" s="12">
        <v>5</v>
      </c>
      <c r="J896" s="11">
        <v>4133.4384</v>
      </c>
      <c r="K896" s="11">
        <v>2640.1769999999997</v>
      </c>
      <c r="L896" s="10" t="s">
        <v>17</v>
      </c>
      <c r="M896" s="5">
        <f t="shared" si="78"/>
        <v>2024</v>
      </c>
      <c r="N896" s="5">
        <f t="shared" si="79"/>
        <v>8</v>
      </c>
      <c r="O896" s="21">
        <f t="shared" si="80"/>
        <v>45505</v>
      </c>
      <c r="P896" s="13">
        <f t="shared" si="81"/>
        <v>0.63873626373626369</v>
      </c>
      <c r="Q896" s="5">
        <f t="shared" si="82"/>
        <v>202408</v>
      </c>
      <c r="R896" s="21">
        <f t="shared" si="83"/>
        <v>45505</v>
      </c>
    </row>
    <row r="897" spans="1:18" x14ac:dyDescent="0.25">
      <c r="A897" s="5" t="s">
        <v>1599</v>
      </c>
      <c r="B897" s="14">
        <v>46015</v>
      </c>
      <c r="C897" s="5" t="s">
        <v>1461</v>
      </c>
      <c r="D897" s="10" t="s">
        <v>20</v>
      </c>
      <c r="E897" s="10" t="s">
        <v>556</v>
      </c>
      <c r="F897" s="10" t="s">
        <v>49</v>
      </c>
      <c r="G897" s="15">
        <v>1</v>
      </c>
      <c r="H897" s="11">
        <v>8229.9710999999988</v>
      </c>
      <c r="I897" s="12">
        <v>0</v>
      </c>
      <c r="J897" s="11">
        <v>8229.9710999999988</v>
      </c>
      <c r="K897" s="11">
        <v>3877.9373999999993</v>
      </c>
      <c r="L897" s="10" t="s">
        <v>23</v>
      </c>
      <c r="M897" s="5">
        <f t="shared" si="78"/>
        <v>2025</v>
      </c>
      <c r="N897" s="5">
        <f t="shared" si="79"/>
        <v>12</v>
      </c>
      <c r="O897" s="21">
        <f t="shared" si="80"/>
        <v>45992</v>
      </c>
      <c r="P897" s="13">
        <f t="shared" si="81"/>
        <v>0.47119696447050707</v>
      </c>
      <c r="Q897" s="5">
        <f t="shared" si="82"/>
        <v>202512</v>
      </c>
      <c r="R897" s="21">
        <f t="shared" si="83"/>
        <v>45992</v>
      </c>
    </row>
    <row r="898" spans="1:18" x14ac:dyDescent="0.25">
      <c r="A898" s="5" t="s">
        <v>1600</v>
      </c>
      <c r="B898" s="14">
        <v>45296</v>
      </c>
      <c r="C898" s="5" t="s">
        <v>810</v>
      </c>
      <c r="D898" s="10" t="s">
        <v>26</v>
      </c>
      <c r="E898" s="10" t="s">
        <v>15</v>
      </c>
      <c r="F898" s="10" t="s">
        <v>16</v>
      </c>
      <c r="G898" s="15">
        <v>1</v>
      </c>
      <c r="H898" s="11">
        <v>14017.541899999998</v>
      </c>
      <c r="I898" s="12">
        <v>0</v>
      </c>
      <c r="J898" s="11">
        <v>14017.541899999998</v>
      </c>
      <c r="K898" s="11">
        <v>2585.2916</v>
      </c>
      <c r="L898" s="10" t="s">
        <v>17</v>
      </c>
      <c r="M898" s="5">
        <f t="shared" ref="M898:M961" si="84">YEAR(B898)</f>
        <v>2024</v>
      </c>
      <c r="N898" s="5">
        <f t="shared" ref="N898:N961" si="85">MONTH(B898)</f>
        <v>1</v>
      </c>
      <c r="O898" s="21">
        <f t="shared" ref="O898:O961" si="86">DATE(YEAR(B898),MONTH(B898),1)</f>
        <v>45292</v>
      </c>
      <c r="P898" s="13">
        <f t="shared" ref="P898:P961" si="87">(K898/J898)</f>
        <v>0.18443259299264161</v>
      </c>
      <c r="Q898" s="5">
        <f t="shared" ref="Q898:Q961" si="88">YEAR(B898)*100+MONTH(B898)</f>
        <v>202401</v>
      </c>
      <c r="R898" s="21">
        <f t="shared" ref="R898:R961" si="89">DATE(YEAR(B898),MONTH(B898),1)</f>
        <v>45292</v>
      </c>
    </row>
    <row r="899" spans="1:18" x14ac:dyDescent="0.25">
      <c r="A899" s="5" t="s">
        <v>1601</v>
      </c>
      <c r="B899" s="14">
        <v>45427</v>
      </c>
      <c r="C899" s="5" t="s">
        <v>1602</v>
      </c>
      <c r="D899" s="10" t="s">
        <v>14</v>
      </c>
      <c r="E899" s="10" t="s">
        <v>15</v>
      </c>
      <c r="F899" s="10" t="s">
        <v>16</v>
      </c>
      <c r="G899" s="15">
        <v>1</v>
      </c>
      <c r="H899" s="11">
        <v>13816.926299999999</v>
      </c>
      <c r="I899" s="12">
        <v>0</v>
      </c>
      <c r="J899" s="11">
        <v>13816.926299999999</v>
      </c>
      <c r="K899" s="11">
        <v>1905.8481999999999</v>
      </c>
      <c r="L899" s="10" t="s">
        <v>17</v>
      </c>
      <c r="M899" s="5">
        <f t="shared" si="84"/>
        <v>2024</v>
      </c>
      <c r="N899" s="5">
        <f t="shared" si="85"/>
        <v>5</v>
      </c>
      <c r="O899" s="21">
        <f t="shared" si="86"/>
        <v>45413</v>
      </c>
      <c r="P899" s="13">
        <f t="shared" si="87"/>
        <v>0.13793575782480652</v>
      </c>
      <c r="Q899" s="5">
        <f t="shared" si="88"/>
        <v>202405</v>
      </c>
      <c r="R899" s="21">
        <f t="shared" si="89"/>
        <v>45413</v>
      </c>
    </row>
    <row r="900" spans="1:18" x14ac:dyDescent="0.25">
      <c r="A900" s="5" t="s">
        <v>1603</v>
      </c>
      <c r="B900" s="14">
        <v>45790</v>
      </c>
      <c r="C900" s="5" t="s">
        <v>704</v>
      </c>
      <c r="D900" s="10" t="s">
        <v>42</v>
      </c>
      <c r="E900" s="10" t="s">
        <v>286</v>
      </c>
      <c r="F900" s="10" t="s">
        <v>39</v>
      </c>
      <c r="G900" s="15">
        <v>2</v>
      </c>
      <c r="H900" s="11">
        <v>3742.6164999999996</v>
      </c>
      <c r="I900" s="12">
        <v>5</v>
      </c>
      <c r="J900" s="11">
        <v>7111.4445000000005</v>
      </c>
      <c r="K900" s="11">
        <v>1920.0426999999997</v>
      </c>
      <c r="L900" s="10" t="s">
        <v>17</v>
      </c>
      <c r="M900" s="5">
        <f t="shared" si="84"/>
        <v>2025</v>
      </c>
      <c r="N900" s="5">
        <f t="shared" si="85"/>
        <v>5</v>
      </c>
      <c r="O900" s="21">
        <f t="shared" si="86"/>
        <v>45778</v>
      </c>
      <c r="P900" s="13">
        <f t="shared" si="87"/>
        <v>0.26999334664005314</v>
      </c>
      <c r="Q900" s="5">
        <f t="shared" si="88"/>
        <v>202505</v>
      </c>
      <c r="R900" s="21">
        <f t="shared" si="89"/>
        <v>45778</v>
      </c>
    </row>
    <row r="901" spans="1:18" x14ac:dyDescent="0.25">
      <c r="A901" s="5" t="s">
        <v>1604</v>
      </c>
      <c r="B901" s="14">
        <v>45682</v>
      </c>
      <c r="C901" s="5" t="s">
        <v>510</v>
      </c>
      <c r="D901" s="10" t="s">
        <v>20</v>
      </c>
      <c r="E901" s="10" t="s">
        <v>314</v>
      </c>
      <c r="F901" s="10" t="s">
        <v>16</v>
      </c>
      <c r="G901" s="15">
        <v>2</v>
      </c>
      <c r="H901" s="11">
        <v>13029.6047</v>
      </c>
      <c r="I901" s="12">
        <v>5</v>
      </c>
      <c r="J901" s="11">
        <v>24756.154299999998</v>
      </c>
      <c r="K901" s="11">
        <v>4756.1037999999999</v>
      </c>
      <c r="L901" s="10" t="s">
        <v>23</v>
      </c>
      <c r="M901" s="5">
        <f t="shared" si="84"/>
        <v>2025</v>
      </c>
      <c r="N901" s="5">
        <f t="shared" si="85"/>
        <v>1</v>
      </c>
      <c r="O901" s="21">
        <f t="shared" si="86"/>
        <v>45658</v>
      </c>
      <c r="P901" s="13">
        <f t="shared" si="87"/>
        <v>0.19211803830128818</v>
      </c>
      <c r="Q901" s="5">
        <f t="shared" si="88"/>
        <v>202501</v>
      </c>
      <c r="R901" s="21">
        <f t="shared" si="89"/>
        <v>45658</v>
      </c>
    </row>
    <row r="902" spans="1:18" x14ac:dyDescent="0.25">
      <c r="A902" s="5" t="s">
        <v>1605</v>
      </c>
      <c r="B902" s="14">
        <v>45897</v>
      </c>
      <c r="C902" s="5" t="s">
        <v>1606</v>
      </c>
      <c r="D902" s="10" t="s">
        <v>42</v>
      </c>
      <c r="E902" s="10" t="s">
        <v>208</v>
      </c>
      <c r="F902" s="10" t="s">
        <v>22</v>
      </c>
      <c r="G902" s="15">
        <v>1</v>
      </c>
      <c r="H902" s="11">
        <v>2528.5135999999998</v>
      </c>
      <c r="I902" s="12">
        <v>0</v>
      </c>
      <c r="J902" s="11">
        <v>2528.5135999999998</v>
      </c>
      <c r="K902" s="11">
        <v>1595.4617999999998</v>
      </c>
      <c r="L902" s="10" t="s">
        <v>23</v>
      </c>
      <c r="M902" s="5">
        <f t="shared" si="84"/>
        <v>2025</v>
      </c>
      <c r="N902" s="5">
        <f t="shared" si="85"/>
        <v>8</v>
      </c>
      <c r="O902" s="21">
        <f t="shared" si="86"/>
        <v>45870</v>
      </c>
      <c r="P902" s="13">
        <f t="shared" si="87"/>
        <v>0.63098802395209574</v>
      </c>
      <c r="Q902" s="5">
        <f t="shared" si="88"/>
        <v>202508</v>
      </c>
      <c r="R902" s="21">
        <f t="shared" si="89"/>
        <v>45870</v>
      </c>
    </row>
    <row r="903" spans="1:18" x14ac:dyDescent="0.25">
      <c r="A903" s="5" t="s">
        <v>1607</v>
      </c>
      <c r="B903" s="14">
        <v>45710</v>
      </c>
      <c r="C903" s="5" t="s">
        <v>868</v>
      </c>
      <c r="D903" s="10" t="s">
        <v>20</v>
      </c>
      <c r="E903" s="10" t="s">
        <v>253</v>
      </c>
      <c r="F903" s="10" t="s">
        <v>49</v>
      </c>
      <c r="G903" s="15">
        <v>1</v>
      </c>
      <c r="H903" s="11">
        <v>4201.5720000000001</v>
      </c>
      <c r="I903" s="12">
        <v>25</v>
      </c>
      <c r="J903" s="11">
        <v>3151.1789999999996</v>
      </c>
      <c r="K903" s="11">
        <v>1344.6922999999999</v>
      </c>
      <c r="L903" s="10" t="s">
        <v>34</v>
      </c>
      <c r="M903" s="5">
        <f t="shared" si="84"/>
        <v>2025</v>
      </c>
      <c r="N903" s="5">
        <f t="shared" si="85"/>
        <v>2</v>
      </c>
      <c r="O903" s="21">
        <f t="shared" si="86"/>
        <v>45689</v>
      </c>
      <c r="P903" s="13">
        <f t="shared" si="87"/>
        <v>0.42672672672672673</v>
      </c>
      <c r="Q903" s="5">
        <f t="shared" si="88"/>
        <v>202502</v>
      </c>
      <c r="R903" s="21">
        <f t="shared" si="89"/>
        <v>45689</v>
      </c>
    </row>
    <row r="904" spans="1:18" x14ac:dyDescent="0.25">
      <c r="A904" s="5" t="s">
        <v>1608</v>
      </c>
      <c r="B904" s="14">
        <v>45425</v>
      </c>
      <c r="C904" s="5" t="s">
        <v>1609</v>
      </c>
      <c r="D904" s="10" t="s">
        <v>20</v>
      </c>
      <c r="E904" s="10" t="s">
        <v>38</v>
      </c>
      <c r="F904" s="10" t="s">
        <v>39</v>
      </c>
      <c r="G904" s="15">
        <v>4</v>
      </c>
      <c r="H904" s="11">
        <v>5239.6630999999998</v>
      </c>
      <c r="I904" s="12">
        <v>5</v>
      </c>
      <c r="J904" s="11">
        <v>19911.098299999998</v>
      </c>
      <c r="K904" s="11">
        <v>4423.9524999999994</v>
      </c>
      <c r="L904" s="10" t="s">
        <v>34</v>
      </c>
      <c r="M904" s="5">
        <f t="shared" si="84"/>
        <v>2024</v>
      </c>
      <c r="N904" s="5">
        <f t="shared" si="85"/>
        <v>5</v>
      </c>
      <c r="O904" s="21">
        <f t="shared" si="86"/>
        <v>45413</v>
      </c>
      <c r="P904" s="13">
        <f t="shared" si="87"/>
        <v>0.22218525735468847</v>
      </c>
      <c r="Q904" s="5">
        <f t="shared" si="88"/>
        <v>202405</v>
      </c>
      <c r="R904" s="21">
        <f t="shared" si="89"/>
        <v>45413</v>
      </c>
    </row>
    <row r="905" spans="1:18" x14ac:dyDescent="0.25">
      <c r="A905" s="5" t="s">
        <v>1610</v>
      </c>
      <c r="B905" s="14">
        <v>45293</v>
      </c>
      <c r="C905" s="5" t="s">
        <v>773</v>
      </c>
      <c r="D905" s="10" t="s">
        <v>14</v>
      </c>
      <c r="E905" s="10" t="s">
        <v>291</v>
      </c>
      <c r="F905" s="10" t="s">
        <v>22</v>
      </c>
      <c r="G905" s="15">
        <v>1</v>
      </c>
      <c r="H905" s="11">
        <v>820.44209999999998</v>
      </c>
      <c r="I905" s="12">
        <v>0</v>
      </c>
      <c r="J905" s="11">
        <v>820.44209999999998</v>
      </c>
      <c r="K905" s="11">
        <v>370.00329999999997</v>
      </c>
      <c r="L905" s="10" t="s">
        <v>17</v>
      </c>
      <c r="M905" s="5">
        <f t="shared" si="84"/>
        <v>2024</v>
      </c>
      <c r="N905" s="5">
        <f t="shared" si="85"/>
        <v>1</v>
      </c>
      <c r="O905" s="21">
        <f t="shared" si="86"/>
        <v>45292</v>
      </c>
      <c r="P905" s="13">
        <f t="shared" si="87"/>
        <v>0.4509803921568627</v>
      </c>
      <c r="Q905" s="5">
        <f t="shared" si="88"/>
        <v>202401</v>
      </c>
      <c r="R905" s="21">
        <f t="shared" si="89"/>
        <v>45292</v>
      </c>
    </row>
    <row r="906" spans="1:18" x14ac:dyDescent="0.25">
      <c r="A906" s="5" t="s">
        <v>1611</v>
      </c>
      <c r="B906" s="14">
        <v>45915</v>
      </c>
      <c r="C906" s="5" t="s">
        <v>863</v>
      </c>
      <c r="D906" s="10" t="s">
        <v>20</v>
      </c>
      <c r="E906" s="10" t="s">
        <v>80</v>
      </c>
      <c r="F906" s="10" t="s">
        <v>16</v>
      </c>
      <c r="G906" s="15">
        <v>1</v>
      </c>
      <c r="H906" s="11">
        <v>5368.3598999999995</v>
      </c>
      <c r="I906" s="12">
        <v>0</v>
      </c>
      <c r="J906" s="11">
        <v>5368.3598999999995</v>
      </c>
      <c r="K906" s="11">
        <v>471.25740000000002</v>
      </c>
      <c r="L906" s="10" t="s">
        <v>17</v>
      </c>
      <c r="M906" s="5">
        <f t="shared" si="84"/>
        <v>2025</v>
      </c>
      <c r="N906" s="5">
        <f t="shared" si="85"/>
        <v>9</v>
      </c>
      <c r="O906" s="21">
        <f t="shared" si="86"/>
        <v>45901</v>
      </c>
      <c r="P906" s="13">
        <f t="shared" si="87"/>
        <v>8.7784241142252792E-2</v>
      </c>
      <c r="Q906" s="5">
        <f t="shared" si="88"/>
        <v>202509</v>
      </c>
      <c r="R906" s="21">
        <f t="shared" si="89"/>
        <v>45901</v>
      </c>
    </row>
    <row r="907" spans="1:18" x14ac:dyDescent="0.25">
      <c r="A907" s="5" t="s">
        <v>1612</v>
      </c>
      <c r="B907" s="14">
        <v>45889</v>
      </c>
      <c r="C907" s="5" t="s">
        <v>1613</v>
      </c>
      <c r="D907" s="10" t="s">
        <v>26</v>
      </c>
      <c r="E907" s="10" t="s">
        <v>38</v>
      </c>
      <c r="F907" s="10" t="s">
        <v>39</v>
      </c>
      <c r="G907" s="15">
        <v>2</v>
      </c>
      <c r="H907" s="11">
        <v>1373.0812999999998</v>
      </c>
      <c r="I907" s="12">
        <v>0</v>
      </c>
      <c r="J907" s="11">
        <v>2746.1625999999997</v>
      </c>
      <c r="K907" s="11">
        <v>1024.8428999999999</v>
      </c>
      <c r="L907" s="10" t="s">
        <v>23</v>
      </c>
      <c r="M907" s="5">
        <f t="shared" si="84"/>
        <v>2025</v>
      </c>
      <c r="N907" s="5">
        <f t="shared" si="85"/>
        <v>8</v>
      </c>
      <c r="O907" s="21">
        <f t="shared" si="86"/>
        <v>45870</v>
      </c>
      <c r="P907" s="13">
        <f t="shared" si="87"/>
        <v>0.37319090282563749</v>
      </c>
      <c r="Q907" s="5">
        <f t="shared" si="88"/>
        <v>202508</v>
      </c>
      <c r="R907" s="21">
        <f t="shared" si="89"/>
        <v>45870</v>
      </c>
    </row>
    <row r="908" spans="1:18" x14ac:dyDescent="0.25">
      <c r="A908" s="5" t="s">
        <v>1614</v>
      </c>
      <c r="B908" s="14">
        <v>45513</v>
      </c>
      <c r="C908" s="5" t="s">
        <v>631</v>
      </c>
      <c r="D908" s="10" t="s">
        <v>42</v>
      </c>
      <c r="E908" s="10" t="s">
        <v>118</v>
      </c>
      <c r="F908" s="10" t="s">
        <v>49</v>
      </c>
      <c r="G908" s="15">
        <v>1</v>
      </c>
      <c r="H908" s="11">
        <v>5316.3134</v>
      </c>
      <c r="I908" s="12">
        <v>10</v>
      </c>
      <c r="J908" s="11">
        <v>4784.4928</v>
      </c>
      <c r="K908" s="11">
        <v>2407.3872000000001</v>
      </c>
      <c r="L908" s="10" t="s">
        <v>17</v>
      </c>
      <c r="M908" s="5">
        <f t="shared" si="84"/>
        <v>2024</v>
      </c>
      <c r="N908" s="5">
        <f t="shared" si="85"/>
        <v>8</v>
      </c>
      <c r="O908" s="21">
        <f t="shared" si="86"/>
        <v>45505</v>
      </c>
      <c r="P908" s="13">
        <f t="shared" si="87"/>
        <v>0.50316455696202533</v>
      </c>
      <c r="Q908" s="5">
        <f t="shared" si="88"/>
        <v>202408</v>
      </c>
      <c r="R908" s="21">
        <f t="shared" si="89"/>
        <v>45505</v>
      </c>
    </row>
    <row r="909" spans="1:18" x14ac:dyDescent="0.25">
      <c r="A909" s="5" t="s">
        <v>1615</v>
      </c>
      <c r="B909" s="14">
        <v>45320</v>
      </c>
      <c r="C909" s="5" t="s">
        <v>1616</v>
      </c>
      <c r="D909" s="10" t="s">
        <v>26</v>
      </c>
      <c r="E909" s="10" t="s">
        <v>502</v>
      </c>
      <c r="F909" s="10" t="s">
        <v>22</v>
      </c>
      <c r="G909" s="15">
        <v>1</v>
      </c>
      <c r="H909" s="11">
        <v>2989.3616999999999</v>
      </c>
      <c r="I909" s="12">
        <v>15</v>
      </c>
      <c r="J909" s="11">
        <v>2540.8155000000002</v>
      </c>
      <c r="K909" s="11">
        <v>1353.2090000000001</v>
      </c>
      <c r="L909" s="10" t="s">
        <v>17</v>
      </c>
      <c r="M909" s="5">
        <f t="shared" si="84"/>
        <v>2024</v>
      </c>
      <c r="N909" s="5">
        <f t="shared" si="85"/>
        <v>1</v>
      </c>
      <c r="O909" s="21">
        <f t="shared" si="86"/>
        <v>45292</v>
      </c>
      <c r="P909" s="13">
        <f t="shared" si="87"/>
        <v>0.53258845437616387</v>
      </c>
      <c r="Q909" s="5">
        <f t="shared" si="88"/>
        <v>202401</v>
      </c>
      <c r="R909" s="21">
        <f t="shared" si="89"/>
        <v>45292</v>
      </c>
    </row>
    <row r="910" spans="1:18" x14ac:dyDescent="0.25">
      <c r="A910" s="5" t="s">
        <v>1617</v>
      </c>
      <c r="B910" s="14">
        <v>45392</v>
      </c>
      <c r="C910" s="5" t="s">
        <v>892</v>
      </c>
      <c r="D910" s="10" t="s">
        <v>14</v>
      </c>
      <c r="E910" s="10" t="s">
        <v>211</v>
      </c>
      <c r="F910" s="10" t="s">
        <v>39</v>
      </c>
      <c r="G910" s="15">
        <v>4</v>
      </c>
      <c r="H910" s="11">
        <v>1396.7387999999999</v>
      </c>
      <c r="I910" s="12">
        <v>5</v>
      </c>
      <c r="J910" s="11">
        <v>5307.7966999999999</v>
      </c>
      <c r="K910" s="11">
        <v>1346.5849000000001</v>
      </c>
      <c r="L910" s="10" t="s">
        <v>23</v>
      </c>
      <c r="M910" s="5">
        <f t="shared" si="84"/>
        <v>2024</v>
      </c>
      <c r="N910" s="5">
        <f t="shared" si="85"/>
        <v>4</v>
      </c>
      <c r="O910" s="21">
        <f t="shared" si="86"/>
        <v>45383</v>
      </c>
      <c r="P910" s="13">
        <f t="shared" si="87"/>
        <v>0.25369941165983245</v>
      </c>
      <c r="Q910" s="5">
        <f t="shared" si="88"/>
        <v>202404</v>
      </c>
      <c r="R910" s="21">
        <f t="shared" si="89"/>
        <v>45383</v>
      </c>
    </row>
    <row r="911" spans="1:18" x14ac:dyDescent="0.25">
      <c r="A911" s="5" t="s">
        <v>1618</v>
      </c>
      <c r="B911" s="14">
        <v>45981</v>
      </c>
      <c r="C911" s="5" t="s">
        <v>1619</v>
      </c>
      <c r="D911" s="10" t="s">
        <v>20</v>
      </c>
      <c r="E911" s="10" t="s">
        <v>177</v>
      </c>
      <c r="F911" s="10" t="s">
        <v>49</v>
      </c>
      <c r="G911" s="15">
        <v>2</v>
      </c>
      <c r="H911" s="11">
        <v>2288.1533999999997</v>
      </c>
      <c r="I911" s="12">
        <v>0</v>
      </c>
      <c r="J911" s="11">
        <v>4576.3067999999994</v>
      </c>
      <c r="K911" s="11">
        <v>2290.0459999999998</v>
      </c>
      <c r="L911" s="10" t="s">
        <v>17</v>
      </c>
      <c r="M911" s="5">
        <f t="shared" si="84"/>
        <v>2025</v>
      </c>
      <c r="N911" s="5">
        <f t="shared" si="85"/>
        <v>11</v>
      </c>
      <c r="O911" s="21">
        <f t="shared" si="86"/>
        <v>45962</v>
      </c>
      <c r="P911" s="13">
        <f t="shared" si="87"/>
        <v>0.50041356492969402</v>
      </c>
      <c r="Q911" s="5">
        <f t="shared" si="88"/>
        <v>202511</v>
      </c>
      <c r="R911" s="21">
        <f t="shared" si="89"/>
        <v>45962</v>
      </c>
    </row>
    <row r="912" spans="1:18" x14ac:dyDescent="0.25">
      <c r="A912" s="5" t="s">
        <v>1620</v>
      </c>
      <c r="B912" s="14">
        <v>45970</v>
      </c>
      <c r="C912" s="5" t="s">
        <v>756</v>
      </c>
      <c r="D912" s="10" t="s">
        <v>37</v>
      </c>
      <c r="E912" s="10" t="s">
        <v>556</v>
      </c>
      <c r="F912" s="10" t="s">
        <v>49</v>
      </c>
      <c r="G912" s="15">
        <v>5</v>
      </c>
      <c r="H912" s="11">
        <v>3717.0663999999997</v>
      </c>
      <c r="I912" s="12">
        <v>0</v>
      </c>
      <c r="J912" s="11">
        <v>18585.331999999999</v>
      </c>
      <c r="K912" s="11">
        <v>7061.2906000000003</v>
      </c>
      <c r="L912" s="10" t="s">
        <v>17</v>
      </c>
      <c r="M912" s="5">
        <f t="shared" si="84"/>
        <v>2025</v>
      </c>
      <c r="N912" s="5">
        <f t="shared" si="85"/>
        <v>11</v>
      </c>
      <c r="O912" s="21">
        <f t="shared" si="86"/>
        <v>45962</v>
      </c>
      <c r="P912" s="13">
        <f t="shared" si="87"/>
        <v>0.37993890020366605</v>
      </c>
      <c r="Q912" s="5">
        <f t="shared" si="88"/>
        <v>202511</v>
      </c>
      <c r="R912" s="21">
        <f t="shared" si="89"/>
        <v>45962</v>
      </c>
    </row>
    <row r="913" spans="1:18" x14ac:dyDescent="0.25">
      <c r="A913" s="5" t="s">
        <v>1621</v>
      </c>
      <c r="B913" s="14">
        <v>45447</v>
      </c>
      <c r="C913" s="5" t="s">
        <v>1622</v>
      </c>
      <c r="D913" s="10" t="s">
        <v>42</v>
      </c>
      <c r="E913" s="10" t="s">
        <v>83</v>
      </c>
      <c r="F913" s="10" t="s">
        <v>22</v>
      </c>
      <c r="G913" s="15">
        <v>2</v>
      </c>
      <c r="H913" s="11">
        <v>4447.6099999999997</v>
      </c>
      <c r="I913" s="12">
        <v>10</v>
      </c>
      <c r="J913" s="11">
        <v>8005.6979999999994</v>
      </c>
      <c r="K913" s="11">
        <v>4014.2046</v>
      </c>
      <c r="L913" s="10" t="s">
        <v>23</v>
      </c>
      <c r="M913" s="5">
        <f t="shared" si="84"/>
        <v>2024</v>
      </c>
      <c r="N913" s="5">
        <f t="shared" si="85"/>
        <v>6</v>
      </c>
      <c r="O913" s="21">
        <f t="shared" si="86"/>
        <v>45444</v>
      </c>
      <c r="P913" s="13">
        <f t="shared" si="87"/>
        <v>0.50141843971631206</v>
      </c>
      <c r="Q913" s="5">
        <f t="shared" si="88"/>
        <v>202406</v>
      </c>
      <c r="R913" s="21">
        <f t="shared" si="89"/>
        <v>45444</v>
      </c>
    </row>
    <row r="914" spans="1:18" x14ac:dyDescent="0.25">
      <c r="A914" s="5" t="s">
        <v>1623</v>
      </c>
      <c r="B914" s="14">
        <v>45632</v>
      </c>
      <c r="C914" s="5" t="s">
        <v>1624</v>
      </c>
      <c r="D914" s="10" t="s">
        <v>20</v>
      </c>
      <c r="E914" s="10" t="s">
        <v>184</v>
      </c>
      <c r="F914" s="10" t="s">
        <v>49</v>
      </c>
      <c r="G914" s="15">
        <v>1</v>
      </c>
      <c r="H914" s="11">
        <v>5673.0685000000003</v>
      </c>
      <c r="I914" s="12">
        <v>0</v>
      </c>
      <c r="J914" s="11">
        <v>5673.0685000000003</v>
      </c>
      <c r="K914" s="11">
        <v>1836.7683</v>
      </c>
      <c r="L914" s="10" t="s">
        <v>17</v>
      </c>
      <c r="M914" s="5">
        <f t="shared" si="84"/>
        <v>2024</v>
      </c>
      <c r="N914" s="5">
        <f t="shared" si="85"/>
        <v>12</v>
      </c>
      <c r="O914" s="21">
        <f t="shared" si="86"/>
        <v>45627</v>
      </c>
      <c r="P914" s="13">
        <f t="shared" si="87"/>
        <v>0.32376980817347789</v>
      </c>
      <c r="Q914" s="5">
        <f t="shared" si="88"/>
        <v>202412</v>
      </c>
      <c r="R914" s="21">
        <f t="shared" si="89"/>
        <v>45627</v>
      </c>
    </row>
    <row r="915" spans="1:18" x14ac:dyDescent="0.25">
      <c r="A915" s="5" t="s">
        <v>1625</v>
      </c>
      <c r="B915" s="14">
        <v>45473</v>
      </c>
      <c r="C915" s="5" t="s">
        <v>492</v>
      </c>
      <c r="D915" s="10" t="s">
        <v>26</v>
      </c>
      <c r="E915" s="10" t="s">
        <v>30</v>
      </c>
      <c r="F915" s="10" t="s">
        <v>16</v>
      </c>
      <c r="G915" s="15">
        <v>1</v>
      </c>
      <c r="H915" s="11">
        <v>9509.3686999999991</v>
      </c>
      <c r="I915" s="12">
        <v>5</v>
      </c>
      <c r="J915" s="11">
        <v>9034.3261000000002</v>
      </c>
      <c r="K915" s="11">
        <v>1985.3373999999999</v>
      </c>
      <c r="L915" s="10" t="s">
        <v>17</v>
      </c>
      <c r="M915" s="5">
        <f t="shared" si="84"/>
        <v>2024</v>
      </c>
      <c r="N915" s="5">
        <f t="shared" si="85"/>
        <v>6</v>
      </c>
      <c r="O915" s="21">
        <f t="shared" si="86"/>
        <v>45444</v>
      </c>
      <c r="P915" s="13">
        <f t="shared" si="87"/>
        <v>0.21975489682622812</v>
      </c>
      <c r="Q915" s="5">
        <f t="shared" si="88"/>
        <v>202406</v>
      </c>
      <c r="R915" s="21">
        <f t="shared" si="89"/>
        <v>45444</v>
      </c>
    </row>
    <row r="916" spans="1:18" x14ac:dyDescent="0.25">
      <c r="A916" s="5" t="s">
        <v>1626</v>
      </c>
      <c r="B916" s="14">
        <v>45744</v>
      </c>
      <c r="C916" s="5" t="s">
        <v>1570</v>
      </c>
      <c r="D916" s="10" t="s">
        <v>42</v>
      </c>
      <c r="E916" s="10" t="s">
        <v>33</v>
      </c>
      <c r="F916" s="10" t="s">
        <v>16</v>
      </c>
      <c r="G916" s="15">
        <v>1</v>
      </c>
      <c r="H916" s="11">
        <v>2562.5803999999998</v>
      </c>
      <c r="I916" s="12">
        <v>10</v>
      </c>
      <c r="J916" s="11">
        <v>2306.1331</v>
      </c>
      <c r="K916" s="11">
        <v>433.40539999999999</v>
      </c>
      <c r="L916" s="10" t="s">
        <v>23</v>
      </c>
      <c r="M916" s="5">
        <f t="shared" si="84"/>
        <v>2025</v>
      </c>
      <c r="N916" s="5">
        <f t="shared" si="85"/>
        <v>3</v>
      </c>
      <c r="O916" s="21">
        <f t="shared" si="86"/>
        <v>45717</v>
      </c>
      <c r="P916" s="13">
        <f t="shared" si="87"/>
        <v>0.18793598686910135</v>
      </c>
      <c r="Q916" s="5">
        <f t="shared" si="88"/>
        <v>202503</v>
      </c>
      <c r="R916" s="21">
        <f t="shared" si="89"/>
        <v>45717</v>
      </c>
    </row>
    <row r="917" spans="1:18" x14ac:dyDescent="0.25">
      <c r="A917" s="5" t="s">
        <v>1627</v>
      </c>
      <c r="B917" s="14">
        <v>45742</v>
      </c>
      <c r="C917" s="5" t="s">
        <v>1628</v>
      </c>
      <c r="D917" s="10" t="s">
        <v>20</v>
      </c>
      <c r="E917" s="10" t="s">
        <v>52</v>
      </c>
      <c r="F917" s="10" t="s">
        <v>39</v>
      </c>
      <c r="G917" s="15">
        <v>2</v>
      </c>
      <c r="H917" s="11">
        <v>2316.5423999999998</v>
      </c>
      <c r="I917" s="12">
        <v>10</v>
      </c>
      <c r="J917" s="11">
        <v>4169.3977999999997</v>
      </c>
      <c r="K917" s="11">
        <v>1198.9621</v>
      </c>
      <c r="L917" s="10" t="s">
        <v>17</v>
      </c>
      <c r="M917" s="5">
        <f t="shared" si="84"/>
        <v>2025</v>
      </c>
      <c r="N917" s="5">
        <f t="shared" si="85"/>
        <v>3</v>
      </c>
      <c r="O917" s="21">
        <f t="shared" si="86"/>
        <v>45717</v>
      </c>
      <c r="P917" s="13">
        <f t="shared" si="87"/>
        <v>0.28756241488878803</v>
      </c>
      <c r="Q917" s="5">
        <f t="shared" si="88"/>
        <v>202503</v>
      </c>
      <c r="R917" s="21">
        <f t="shared" si="89"/>
        <v>45717</v>
      </c>
    </row>
    <row r="918" spans="1:18" x14ac:dyDescent="0.25">
      <c r="A918" s="5" t="s">
        <v>1629</v>
      </c>
      <c r="B918" s="14">
        <v>45976</v>
      </c>
      <c r="C918" s="5" t="s">
        <v>419</v>
      </c>
      <c r="D918" s="10" t="s">
        <v>42</v>
      </c>
      <c r="E918" s="10" t="s">
        <v>286</v>
      </c>
      <c r="F918" s="10" t="s">
        <v>39</v>
      </c>
      <c r="G918" s="15">
        <v>1</v>
      </c>
      <c r="H918" s="11">
        <v>1781.8828999999998</v>
      </c>
      <c r="I918" s="12">
        <v>15</v>
      </c>
      <c r="J918" s="11">
        <v>1515.0263</v>
      </c>
      <c r="K918" s="11">
        <v>314.17159999999996</v>
      </c>
      <c r="L918" s="10" t="s">
        <v>23</v>
      </c>
      <c r="M918" s="5">
        <f t="shared" si="84"/>
        <v>2025</v>
      </c>
      <c r="N918" s="5">
        <f t="shared" si="85"/>
        <v>11</v>
      </c>
      <c r="O918" s="21">
        <f t="shared" si="86"/>
        <v>45962</v>
      </c>
      <c r="P918" s="13">
        <f t="shared" si="87"/>
        <v>0.20737039350405995</v>
      </c>
      <c r="Q918" s="5">
        <f t="shared" si="88"/>
        <v>202511</v>
      </c>
      <c r="R918" s="21">
        <f t="shared" si="89"/>
        <v>45962</v>
      </c>
    </row>
    <row r="919" spans="1:18" x14ac:dyDescent="0.25">
      <c r="A919" s="5" t="s">
        <v>1630</v>
      </c>
      <c r="B919" s="14">
        <v>45721</v>
      </c>
      <c r="C919" s="5" t="s">
        <v>905</v>
      </c>
      <c r="D919" s="10" t="s">
        <v>37</v>
      </c>
      <c r="E919" s="10" t="s">
        <v>154</v>
      </c>
      <c r="F919" s="10" t="s">
        <v>39</v>
      </c>
      <c r="G919" s="15">
        <v>2</v>
      </c>
      <c r="H919" s="11">
        <v>3001.6635999999999</v>
      </c>
      <c r="I919" s="12">
        <v>0</v>
      </c>
      <c r="J919" s="11">
        <v>6003.3271999999997</v>
      </c>
      <c r="K919" s="11">
        <v>1248.1696999999999</v>
      </c>
      <c r="L919" s="10" t="s">
        <v>17</v>
      </c>
      <c r="M919" s="5">
        <f t="shared" si="84"/>
        <v>2025</v>
      </c>
      <c r="N919" s="5">
        <f t="shared" si="85"/>
        <v>3</v>
      </c>
      <c r="O919" s="21">
        <f t="shared" si="86"/>
        <v>45717</v>
      </c>
      <c r="P919" s="13">
        <f t="shared" si="87"/>
        <v>0.20791298865069358</v>
      </c>
      <c r="Q919" s="5">
        <f t="shared" si="88"/>
        <v>202503</v>
      </c>
      <c r="R919" s="21">
        <f t="shared" si="89"/>
        <v>45717</v>
      </c>
    </row>
    <row r="920" spans="1:18" x14ac:dyDescent="0.25">
      <c r="A920" s="5" t="s">
        <v>1631</v>
      </c>
      <c r="B920" s="14">
        <v>45456</v>
      </c>
      <c r="C920" s="5" t="s">
        <v>1632</v>
      </c>
      <c r="D920" s="10" t="s">
        <v>37</v>
      </c>
      <c r="E920" s="10" t="s">
        <v>69</v>
      </c>
      <c r="F920" s="10" t="s">
        <v>39</v>
      </c>
      <c r="G920" s="15">
        <v>1</v>
      </c>
      <c r="H920" s="11">
        <v>7181.4706999999999</v>
      </c>
      <c r="I920" s="12">
        <v>0</v>
      </c>
      <c r="J920" s="11">
        <v>7181.4706999999999</v>
      </c>
      <c r="K920" s="11">
        <v>1662.6490999999999</v>
      </c>
      <c r="L920" s="10" t="s">
        <v>23</v>
      </c>
      <c r="M920" s="5">
        <f t="shared" si="84"/>
        <v>2024</v>
      </c>
      <c r="N920" s="5">
        <f t="shared" si="85"/>
        <v>6</v>
      </c>
      <c r="O920" s="21">
        <f t="shared" si="86"/>
        <v>45444</v>
      </c>
      <c r="P920" s="13">
        <f t="shared" si="87"/>
        <v>0.23151930425616021</v>
      </c>
      <c r="Q920" s="5">
        <f t="shared" si="88"/>
        <v>202406</v>
      </c>
      <c r="R920" s="21">
        <f t="shared" si="89"/>
        <v>45444</v>
      </c>
    </row>
    <row r="921" spans="1:18" x14ac:dyDescent="0.25">
      <c r="A921" s="5" t="s">
        <v>1633</v>
      </c>
      <c r="B921" s="14">
        <v>46020</v>
      </c>
      <c r="C921" s="5" t="s">
        <v>1245</v>
      </c>
      <c r="D921" s="10" t="s">
        <v>37</v>
      </c>
      <c r="E921" s="10" t="s">
        <v>15</v>
      </c>
      <c r="F921" s="10" t="s">
        <v>16</v>
      </c>
      <c r="G921" s="15">
        <v>2</v>
      </c>
      <c r="H921" s="11">
        <v>7017.7607999999991</v>
      </c>
      <c r="I921" s="12">
        <v>5</v>
      </c>
      <c r="J921" s="11">
        <v>13333.367</v>
      </c>
      <c r="K921" s="11">
        <v>2640.1769999999997</v>
      </c>
      <c r="L921" s="10" t="s">
        <v>34</v>
      </c>
      <c r="M921" s="5">
        <f t="shared" si="84"/>
        <v>2025</v>
      </c>
      <c r="N921" s="5">
        <f t="shared" si="85"/>
        <v>12</v>
      </c>
      <c r="O921" s="21">
        <f t="shared" si="86"/>
        <v>45992</v>
      </c>
      <c r="P921" s="13">
        <f t="shared" si="87"/>
        <v>0.19801277501774306</v>
      </c>
      <c r="Q921" s="5">
        <f t="shared" si="88"/>
        <v>202512</v>
      </c>
      <c r="R921" s="21">
        <f t="shared" si="89"/>
        <v>45992</v>
      </c>
    </row>
    <row r="922" spans="1:18" x14ac:dyDescent="0.25">
      <c r="A922" s="5" t="s">
        <v>1634</v>
      </c>
      <c r="B922" s="14">
        <v>45805</v>
      </c>
      <c r="C922" s="5" t="s">
        <v>1635</v>
      </c>
      <c r="D922" s="10" t="s">
        <v>37</v>
      </c>
      <c r="E922" s="10" t="s">
        <v>222</v>
      </c>
      <c r="F922" s="10" t="s">
        <v>22</v>
      </c>
      <c r="G922" s="15">
        <v>1</v>
      </c>
      <c r="H922" s="11">
        <v>4391.778299999999</v>
      </c>
      <c r="I922" s="12">
        <v>15</v>
      </c>
      <c r="J922" s="11">
        <v>3733.1534999999999</v>
      </c>
      <c r="K922" s="11">
        <v>2118.7656999999999</v>
      </c>
      <c r="L922" s="10" t="s">
        <v>17</v>
      </c>
      <c r="M922" s="5">
        <f t="shared" si="84"/>
        <v>2025</v>
      </c>
      <c r="N922" s="5">
        <f t="shared" si="85"/>
        <v>5</v>
      </c>
      <c r="O922" s="21">
        <f t="shared" si="86"/>
        <v>45778</v>
      </c>
      <c r="P922" s="13">
        <f t="shared" si="87"/>
        <v>0.56755386565272492</v>
      </c>
      <c r="Q922" s="5">
        <f t="shared" si="88"/>
        <v>202505</v>
      </c>
      <c r="R922" s="21">
        <f t="shared" si="89"/>
        <v>45778</v>
      </c>
    </row>
    <row r="923" spans="1:18" x14ac:dyDescent="0.25">
      <c r="A923" s="5" t="s">
        <v>1636</v>
      </c>
      <c r="B923" s="14">
        <v>45514</v>
      </c>
      <c r="C923" s="5" t="s">
        <v>1637</v>
      </c>
      <c r="D923" s="10" t="s">
        <v>14</v>
      </c>
      <c r="E923" s="10" t="s">
        <v>151</v>
      </c>
      <c r="F923" s="10" t="s">
        <v>39</v>
      </c>
      <c r="G923" s="15">
        <v>1</v>
      </c>
      <c r="H923" s="11">
        <v>3971.6210999999998</v>
      </c>
      <c r="I923" s="12">
        <v>0</v>
      </c>
      <c r="J923" s="11">
        <v>3971.6210999999998</v>
      </c>
      <c r="K923" s="11">
        <v>1318.1958999999999</v>
      </c>
      <c r="L923" s="10" t="s">
        <v>17</v>
      </c>
      <c r="M923" s="5">
        <f t="shared" si="84"/>
        <v>2024</v>
      </c>
      <c r="N923" s="5">
        <f t="shared" si="85"/>
        <v>8</v>
      </c>
      <c r="O923" s="21">
        <f t="shared" si="86"/>
        <v>45505</v>
      </c>
      <c r="P923" s="13">
        <f t="shared" si="87"/>
        <v>0.33190374076721468</v>
      </c>
      <c r="Q923" s="5">
        <f t="shared" si="88"/>
        <v>202408</v>
      </c>
      <c r="R923" s="21">
        <f t="shared" si="89"/>
        <v>45505</v>
      </c>
    </row>
    <row r="924" spans="1:18" x14ac:dyDescent="0.25">
      <c r="A924" s="5" t="s">
        <v>1638</v>
      </c>
      <c r="B924" s="14">
        <v>45390</v>
      </c>
      <c r="C924" s="5" t="s">
        <v>1639</v>
      </c>
      <c r="D924" s="10" t="s">
        <v>20</v>
      </c>
      <c r="E924" s="10" t="s">
        <v>80</v>
      </c>
      <c r="F924" s="10" t="s">
        <v>16</v>
      </c>
      <c r="G924" s="15">
        <v>2</v>
      </c>
      <c r="H924" s="11">
        <v>5358.8968999999997</v>
      </c>
      <c r="I924" s="12">
        <v>20</v>
      </c>
      <c r="J924" s="11">
        <v>8574.4242999999988</v>
      </c>
      <c r="K924" s="11">
        <v>1622.9044999999999</v>
      </c>
      <c r="L924" s="10" t="s">
        <v>23</v>
      </c>
      <c r="M924" s="5">
        <f t="shared" si="84"/>
        <v>2024</v>
      </c>
      <c r="N924" s="5">
        <f t="shared" si="85"/>
        <v>4</v>
      </c>
      <c r="O924" s="21">
        <f t="shared" si="86"/>
        <v>45383</v>
      </c>
      <c r="P924" s="13">
        <f t="shared" si="87"/>
        <v>0.18927270720671008</v>
      </c>
      <c r="Q924" s="5">
        <f t="shared" si="88"/>
        <v>202404</v>
      </c>
      <c r="R924" s="21">
        <f t="shared" si="89"/>
        <v>45383</v>
      </c>
    </row>
    <row r="925" spans="1:18" x14ac:dyDescent="0.25">
      <c r="A925" s="5" t="s">
        <v>1640</v>
      </c>
      <c r="B925" s="14">
        <v>46000</v>
      </c>
      <c r="C925" s="5" t="s">
        <v>172</v>
      </c>
      <c r="D925" s="10" t="s">
        <v>20</v>
      </c>
      <c r="E925" s="10" t="s">
        <v>27</v>
      </c>
      <c r="F925" s="10" t="s">
        <v>22</v>
      </c>
      <c r="G925" s="15">
        <v>3</v>
      </c>
      <c r="H925" s="11">
        <v>2261.6569999999997</v>
      </c>
      <c r="I925" s="12">
        <v>10</v>
      </c>
      <c r="J925" s="11">
        <v>6106.4739</v>
      </c>
      <c r="K925" s="11">
        <v>3933.7691</v>
      </c>
      <c r="L925" s="10" t="s">
        <v>17</v>
      </c>
      <c r="M925" s="5">
        <f t="shared" si="84"/>
        <v>2025</v>
      </c>
      <c r="N925" s="5">
        <f t="shared" si="85"/>
        <v>12</v>
      </c>
      <c r="O925" s="21">
        <f t="shared" si="86"/>
        <v>45992</v>
      </c>
      <c r="P925" s="13">
        <f t="shared" si="87"/>
        <v>0.64419649775298315</v>
      </c>
      <c r="Q925" s="5">
        <f t="shared" si="88"/>
        <v>202512</v>
      </c>
      <c r="R925" s="21">
        <f t="shared" si="89"/>
        <v>45992</v>
      </c>
    </row>
    <row r="926" spans="1:18" x14ac:dyDescent="0.25">
      <c r="A926" s="5" t="s">
        <v>1641</v>
      </c>
      <c r="B926" s="14">
        <v>45609</v>
      </c>
      <c r="C926" s="5" t="s">
        <v>1642</v>
      </c>
      <c r="D926" s="10" t="s">
        <v>37</v>
      </c>
      <c r="E926" s="10" t="s">
        <v>118</v>
      </c>
      <c r="F926" s="10" t="s">
        <v>49</v>
      </c>
      <c r="G926" s="15">
        <v>2</v>
      </c>
      <c r="H926" s="11">
        <v>5975.8844999999992</v>
      </c>
      <c r="I926" s="12">
        <v>0</v>
      </c>
      <c r="J926" s="11">
        <v>11951.768999999998</v>
      </c>
      <c r="K926" s="11">
        <v>6182.1778999999997</v>
      </c>
      <c r="L926" s="10" t="s">
        <v>17</v>
      </c>
      <c r="M926" s="5">
        <f t="shared" si="84"/>
        <v>2024</v>
      </c>
      <c r="N926" s="5">
        <f t="shared" si="85"/>
        <v>11</v>
      </c>
      <c r="O926" s="21">
        <f t="shared" si="86"/>
        <v>45597</v>
      </c>
      <c r="P926" s="13">
        <f t="shared" si="87"/>
        <v>0.51726049089469517</v>
      </c>
      <c r="Q926" s="5">
        <f t="shared" si="88"/>
        <v>202411</v>
      </c>
      <c r="R926" s="21">
        <f t="shared" si="89"/>
        <v>45597</v>
      </c>
    </row>
    <row r="927" spans="1:18" x14ac:dyDescent="0.25">
      <c r="A927" s="5" t="s">
        <v>1643</v>
      </c>
      <c r="B927" s="14">
        <v>45757</v>
      </c>
      <c r="C927" s="5" t="s">
        <v>435</v>
      </c>
      <c r="D927" s="10" t="s">
        <v>20</v>
      </c>
      <c r="E927" s="10" t="s">
        <v>187</v>
      </c>
      <c r="F927" s="10" t="s">
        <v>75</v>
      </c>
      <c r="G927" s="15">
        <v>1</v>
      </c>
      <c r="H927" s="11">
        <v>5389.1785</v>
      </c>
      <c r="I927" s="12">
        <v>0</v>
      </c>
      <c r="J927" s="11">
        <v>5389.1785</v>
      </c>
      <c r="K927" s="11">
        <v>991.72239999999999</v>
      </c>
      <c r="L927" s="10" t="s">
        <v>17</v>
      </c>
      <c r="M927" s="5">
        <f t="shared" si="84"/>
        <v>2025</v>
      </c>
      <c r="N927" s="5">
        <f t="shared" si="85"/>
        <v>4</v>
      </c>
      <c r="O927" s="21">
        <f t="shared" si="86"/>
        <v>45748</v>
      </c>
      <c r="P927" s="13">
        <f t="shared" si="87"/>
        <v>0.18402107111501317</v>
      </c>
      <c r="Q927" s="5">
        <f t="shared" si="88"/>
        <v>202504</v>
      </c>
      <c r="R927" s="21">
        <f t="shared" si="89"/>
        <v>45748</v>
      </c>
    </row>
    <row r="928" spans="1:18" x14ac:dyDescent="0.25">
      <c r="A928" s="5" t="s">
        <v>1644</v>
      </c>
      <c r="B928" s="14">
        <v>45476</v>
      </c>
      <c r="C928" s="5" t="s">
        <v>1080</v>
      </c>
      <c r="D928" s="10" t="s">
        <v>37</v>
      </c>
      <c r="E928" s="10" t="s">
        <v>69</v>
      </c>
      <c r="F928" s="10" t="s">
        <v>39</v>
      </c>
      <c r="G928" s="15">
        <v>5</v>
      </c>
      <c r="H928" s="11">
        <v>1559.5023999999999</v>
      </c>
      <c r="I928" s="12">
        <v>5</v>
      </c>
      <c r="J928" s="11">
        <v>7407.6363999999994</v>
      </c>
      <c r="K928" s="11">
        <v>1855.6942999999999</v>
      </c>
      <c r="L928" s="10" t="s">
        <v>23</v>
      </c>
      <c r="M928" s="5">
        <f t="shared" si="84"/>
        <v>2024</v>
      </c>
      <c r="N928" s="5">
        <f t="shared" si="85"/>
        <v>7</v>
      </c>
      <c r="O928" s="21">
        <f t="shared" si="86"/>
        <v>45474</v>
      </c>
      <c r="P928" s="13">
        <f t="shared" si="87"/>
        <v>0.25051098620337253</v>
      </c>
      <c r="Q928" s="5">
        <f t="shared" si="88"/>
        <v>202407</v>
      </c>
      <c r="R928" s="21">
        <f t="shared" si="89"/>
        <v>45474</v>
      </c>
    </row>
    <row r="929" spans="1:18" x14ac:dyDescent="0.25">
      <c r="A929" s="5" t="s">
        <v>1645</v>
      </c>
      <c r="B929" s="14">
        <v>45880</v>
      </c>
      <c r="C929" s="5" t="s">
        <v>1646</v>
      </c>
      <c r="D929" s="10" t="s">
        <v>20</v>
      </c>
      <c r="E929" s="10" t="s">
        <v>291</v>
      </c>
      <c r="F929" s="10" t="s">
        <v>22</v>
      </c>
      <c r="G929" s="15">
        <v>1</v>
      </c>
      <c r="H929" s="11">
        <v>4433.4155000000001</v>
      </c>
      <c r="I929" s="12">
        <v>0</v>
      </c>
      <c r="J929" s="11">
        <v>4433.4155000000001</v>
      </c>
      <c r="K929" s="11">
        <v>1827.3052999999998</v>
      </c>
      <c r="L929" s="10" t="s">
        <v>34</v>
      </c>
      <c r="M929" s="5">
        <f t="shared" si="84"/>
        <v>2025</v>
      </c>
      <c r="N929" s="5">
        <f t="shared" si="85"/>
        <v>8</v>
      </c>
      <c r="O929" s="21">
        <f t="shared" si="86"/>
        <v>45870</v>
      </c>
      <c r="P929" s="13">
        <f t="shared" si="87"/>
        <v>0.4121664887940234</v>
      </c>
      <c r="Q929" s="5">
        <f t="shared" si="88"/>
        <v>202508</v>
      </c>
      <c r="R929" s="21">
        <f t="shared" si="89"/>
        <v>45870</v>
      </c>
    </row>
    <row r="930" spans="1:18" x14ac:dyDescent="0.25">
      <c r="A930" s="5" t="s">
        <v>1647</v>
      </c>
      <c r="B930" s="14">
        <v>45603</v>
      </c>
      <c r="C930" s="5" t="s">
        <v>1648</v>
      </c>
      <c r="D930" s="10" t="s">
        <v>20</v>
      </c>
      <c r="E930" s="10" t="s">
        <v>184</v>
      </c>
      <c r="F930" s="10" t="s">
        <v>49</v>
      </c>
      <c r="G930" s="15">
        <v>2</v>
      </c>
      <c r="H930" s="11">
        <v>3601.6178</v>
      </c>
      <c r="I930" s="12">
        <v>0</v>
      </c>
      <c r="J930" s="11">
        <v>7203.2356</v>
      </c>
      <c r="K930" s="11">
        <v>3154.9642000000003</v>
      </c>
      <c r="L930" s="10" t="s">
        <v>17</v>
      </c>
      <c r="M930" s="5">
        <f t="shared" si="84"/>
        <v>2024</v>
      </c>
      <c r="N930" s="5">
        <f t="shared" si="85"/>
        <v>11</v>
      </c>
      <c r="O930" s="21">
        <f t="shared" si="86"/>
        <v>45597</v>
      </c>
      <c r="P930" s="13">
        <f t="shared" si="87"/>
        <v>0.4379926431949554</v>
      </c>
      <c r="Q930" s="5">
        <f t="shared" si="88"/>
        <v>202411</v>
      </c>
      <c r="R930" s="21">
        <f t="shared" si="89"/>
        <v>45597</v>
      </c>
    </row>
    <row r="931" spans="1:18" x14ac:dyDescent="0.25">
      <c r="A931" s="5" t="s">
        <v>1649</v>
      </c>
      <c r="B931" s="14">
        <v>45473</v>
      </c>
      <c r="C931" s="5" t="s">
        <v>704</v>
      </c>
      <c r="D931" s="10" t="s">
        <v>20</v>
      </c>
      <c r="E931" s="10" t="s">
        <v>556</v>
      </c>
      <c r="F931" s="10" t="s">
        <v>49</v>
      </c>
      <c r="G931" s="15">
        <v>2</v>
      </c>
      <c r="H931" s="11">
        <v>8378.5401999999995</v>
      </c>
      <c r="I931" s="12">
        <v>15</v>
      </c>
      <c r="J931" s="11">
        <v>14243.7076</v>
      </c>
      <c r="K931" s="11">
        <v>7279.8859000000002</v>
      </c>
      <c r="L931" s="10" t="s">
        <v>23</v>
      </c>
      <c r="M931" s="5">
        <f t="shared" si="84"/>
        <v>2024</v>
      </c>
      <c r="N931" s="5">
        <f t="shared" si="85"/>
        <v>6</v>
      </c>
      <c r="O931" s="21">
        <f t="shared" si="86"/>
        <v>45444</v>
      </c>
      <c r="P931" s="13">
        <f t="shared" si="87"/>
        <v>0.51109487111347329</v>
      </c>
      <c r="Q931" s="5">
        <f t="shared" si="88"/>
        <v>202406</v>
      </c>
      <c r="R931" s="21">
        <f t="shared" si="89"/>
        <v>45444</v>
      </c>
    </row>
    <row r="932" spans="1:18" x14ac:dyDescent="0.25">
      <c r="A932" s="5" t="s">
        <v>1650</v>
      </c>
      <c r="B932" s="14">
        <v>45950</v>
      </c>
      <c r="C932" s="5" t="s">
        <v>1188</v>
      </c>
      <c r="D932" s="10" t="s">
        <v>37</v>
      </c>
      <c r="E932" s="10" t="s">
        <v>148</v>
      </c>
      <c r="F932" s="10" t="s">
        <v>16</v>
      </c>
      <c r="G932" s="15">
        <v>3</v>
      </c>
      <c r="H932" s="11">
        <v>11865.655699999999</v>
      </c>
      <c r="I932" s="12">
        <v>20</v>
      </c>
      <c r="J932" s="11">
        <v>28477.9522</v>
      </c>
      <c r="K932" s="11">
        <v>3582.6917999999996</v>
      </c>
      <c r="L932" s="10" t="s">
        <v>17</v>
      </c>
      <c r="M932" s="5">
        <f t="shared" si="84"/>
        <v>2025</v>
      </c>
      <c r="N932" s="5">
        <f t="shared" si="85"/>
        <v>10</v>
      </c>
      <c r="O932" s="21">
        <f t="shared" si="86"/>
        <v>45931</v>
      </c>
      <c r="P932" s="13">
        <f t="shared" si="87"/>
        <v>0.125805808466804</v>
      </c>
      <c r="Q932" s="5">
        <f t="shared" si="88"/>
        <v>202510</v>
      </c>
      <c r="R932" s="21">
        <f t="shared" si="89"/>
        <v>45931</v>
      </c>
    </row>
    <row r="933" spans="1:18" x14ac:dyDescent="0.25">
      <c r="A933" s="5" t="s">
        <v>1651</v>
      </c>
      <c r="B933" s="14">
        <v>46000</v>
      </c>
      <c r="C933" s="5" t="s">
        <v>1652</v>
      </c>
      <c r="D933" s="10" t="s">
        <v>37</v>
      </c>
      <c r="E933" s="10" t="s">
        <v>141</v>
      </c>
      <c r="F933" s="10" t="s">
        <v>16</v>
      </c>
      <c r="G933" s="15">
        <v>3</v>
      </c>
      <c r="H933" s="11">
        <v>3288.3924999999999</v>
      </c>
      <c r="I933" s="12">
        <v>20</v>
      </c>
      <c r="J933" s="11">
        <v>7892.1419999999998</v>
      </c>
      <c r="K933" s="11">
        <v>1387.2757999999999</v>
      </c>
      <c r="L933" s="10" t="s">
        <v>17</v>
      </c>
      <c r="M933" s="5">
        <f t="shared" si="84"/>
        <v>2025</v>
      </c>
      <c r="N933" s="5">
        <f t="shared" si="85"/>
        <v>12</v>
      </c>
      <c r="O933" s="21">
        <f t="shared" si="86"/>
        <v>45992</v>
      </c>
      <c r="P933" s="13">
        <f t="shared" si="87"/>
        <v>0.17577937649880096</v>
      </c>
      <c r="Q933" s="5">
        <f t="shared" si="88"/>
        <v>202512</v>
      </c>
      <c r="R933" s="21">
        <f t="shared" si="89"/>
        <v>45992</v>
      </c>
    </row>
    <row r="934" spans="1:18" x14ac:dyDescent="0.25">
      <c r="A934" s="5" t="s">
        <v>1653</v>
      </c>
      <c r="B934" s="14">
        <v>45588</v>
      </c>
      <c r="C934" s="5" t="s">
        <v>1441</v>
      </c>
      <c r="D934" s="10" t="s">
        <v>26</v>
      </c>
      <c r="E934" s="10" t="s">
        <v>246</v>
      </c>
      <c r="F934" s="10" t="s">
        <v>75</v>
      </c>
      <c r="G934" s="15">
        <v>2</v>
      </c>
      <c r="H934" s="11">
        <v>1959.7873</v>
      </c>
      <c r="I934" s="12">
        <v>15</v>
      </c>
      <c r="J934" s="11">
        <v>3331.9222999999997</v>
      </c>
      <c r="K934" s="11">
        <v>730.54359999999997</v>
      </c>
      <c r="L934" s="10" t="s">
        <v>23</v>
      </c>
      <c r="M934" s="5">
        <f t="shared" si="84"/>
        <v>2024</v>
      </c>
      <c r="N934" s="5">
        <f t="shared" si="85"/>
        <v>10</v>
      </c>
      <c r="O934" s="21">
        <f t="shared" si="86"/>
        <v>45566</v>
      </c>
      <c r="P934" s="13">
        <f t="shared" si="87"/>
        <v>0.21925589321215563</v>
      </c>
      <c r="Q934" s="5">
        <f t="shared" si="88"/>
        <v>202410</v>
      </c>
      <c r="R934" s="21">
        <f t="shared" si="89"/>
        <v>45566</v>
      </c>
    </row>
    <row r="935" spans="1:18" x14ac:dyDescent="0.25">
      <c r="A935" s="5" t="s">
        <v>1654</v>
      </c>
      <c r="B935" s="14">
        <v>45499</v>
      </c>
      <c r="C935" s="5" t="s">
        <v>1655</v>
      </c>
      <c r="D935" s="10" t="s">
        <v>42</v>
      </c>
      <c r="E935" s="10" t="s">
        <v>232</v>
      </c>
      <c r="F935" s="10" t="s">
        <v>22</v>
      </c>
      <c r="G935" s="15">
        <v>1</v>
      </c>
      <c r="H935" s="11">
        <v>716.34910000000002</v>
      </c>
      <c r="I935" s="12">
        <v>15</v>
      </c>
      <c r="J935" s="11">
        <v>608.47089999999992</v>
      </c>
      <c r="K935" s="11">
        <v>325.52719999999999</v>
      </c>
      <c r="L935" s="10" t="s">
        <v>23</v>
      </c>
      <c r="M935" s="5">
        <f t="shared" si="84"/>
        <v>2024</v>
      </c>
      <c r="N935" s="5">
        <f t="shared" si="85"/>
        <v>7</v>
      </c>
      <c r="O935" s="21">
        <f t="shared" si="86"/>
        <v>45474</v>
      </c>
      <c r="P935" s="13">
        <f t="shared" si="87"/>
        <v>0.53499222395023338</v>
      </c>
      <c r="Q935" s="5">
        <f t="shared" si="88"/>
        <v>202407</v>
      </c>
      <c r="R935" s="21">
        <f t="shared" si="89"/>
        <v>45474</v>
      </c>
    </row>
    <row r="936" spans="1:18" x14ac:dyDescent="0.25">
      <c r="A936" s="5" t="s">
        <v>1656</v>
      </c>
      <c r="B936" s="14">
        <v>45492</v>
      </c>
      <c r="C936" s="5" t="s">
        <v>1034</v>
      </c>
      <c r="D936" s="10" t="s">
        <v>26</v>
      </c>
      <c r="E936" s="10" t="s">
        <v>27</v>
      </c>
      <c r="F936" s="10" t="s">
        <v>22</v>
      </c>
      <c r="G936" s="15">
        <v>2</v>
      </c>
      <c r="H936" s="11">
        <v>2992.2006000000001</v>
      </c>
      <c r="I936" s="12">
        <v>25</v>
      </c>
      <c r="J936" s="11">
        <v>4488.3009000000002</v>
      </c>
      <c r="K936" s="11">
        <v>2688.4382999999998</v>
      </c>
      <c r="L936" s="10" t="s">
        <v>23</v>
      </c>
      <c r="M936" s="5">
        <f t="shared" si="84"/>
        <v>2024</v>
      </c>
      <c r="N936" s="5">
        <f t="shared" si="85"/>
        <v>7</v>
      </c>
      <c r="O936" s="21">
        <f t="shared" si="86"/>
        <v>45474</v>
      </c>
      <c r="P936" s="13">
        <f t="shared" si="87"/>
        <v>0.59898798228968997</v>
      </c>
      <c r="Q936" s="5">
        <f t="shared" si="88"/>
        <v>202407</v>
      </c>
      <c r="R936" s="21">
        <f t="shared" si="89"/>
        <v>45474</v>
      </c>
    </row>
    <row r="937" spans="1:18" x14ac:dyDescent="0.25">
      <c r="A937" s="5" t="s">
        <v>1657</v>
      </c>
      <c r="B937" s="14">
        <v>45800</v>
      </c>
      <c r="C937" s="5" t="s">
        <v>1658</v>
      </c>
      <c r="D937" s="10" t="s">
        <v>26</v>
      </c>
      <c r="E937" s="10" t="s">
        <v>15</v>
      </c>
      <c r="F937" s="10" t="s">
        <v>16</v>
      </c>
      <c r="G937" s="15">
        <v>2</v>
      </c>
      <c r="H937" s="11">
        <v>10075.256099999999</v>
      </c>
      <c r="I937" s="12">
        <v>10</v>
      </c>
      <c r="J937" s="11">
        <v>18135.839499999998</v>
      </c>
      <c r="K937" s="11">
        <v>1678.7361999999998</v>
      </c>
      <c r="L937" s="10" t="s">
        <v>17</v>
      </c>
      <c r="M937" s="5">
        <f t="shared" si="84"/>
        <v>2025</v>
      </c>
      <c r="N937" s="5">
        <f t="shared" si="85"/>
        <v>5</v>
      </c>
      <c r="O937" s="21">
        <f t="shared" si="86"/>
        <v>45778</v>
      </c>
      <c r="P937" s="13">
        <f t="shared" si="87"/>
        <v>9.2564570832246285E-2</v>
      </c>
      <c r="Q937" s="5">
        <f t="shared" si="88"/>
        <v>202505</v>
      </c>
      <c r="R937" s="21">
        <f t="shared" si="89"/>
        <v>45778</v>
      </c>
    </row>
    <row r="938" spans="1:18" x14ac:dyDescent="0.25">
      <c r="A938" s="5" t="s">
        <v>1659</v>
      </c>
      <c r="B938" s="14">
        <v>45964</v>
      </c>
      <c r="C938" s="5" t="s">
        <v>949</v>
      </c>
      <c r="D938" s="10" t="s">
        <v>20</v>
      </c>
      <c r="E938" s="10" t="s">
        <v>314</v>
      </c>
      <c r="F938" s="10" t="s">
        <v>16</v>
      </c>
      <c r="G938" s="15">
        <v>3</v>
      </c>
      <c r="H938" s="11">
        <v>10452.8298</v>
      </c>
      <c r="I938" s="12">
        <v>0</v>
      </c>
      <c r="J938" s="11">
        <v>31358.489399999999</v>
      </c>
      <c r="K938" s="11">
        <v>6223.8150999999989</v>
      </c>
      <c r="L938" s="10" t="s">
        <v>17</v>
      </c>
      <c r="M938" s="5">
        <f t="shared" si="84"/>
        <v>2025</v>
      </c>
      <c r="N938" s="5">
        <f t="shared" si="85"/>
        <v>11</v>
      </c>
      <c r="O938" s="21">
        <f t="shared" si="86"/>
        <v>45962</v>
      </c>
      <c r="P938" s="13">
        <f t="shared" si="87"/>
        <v>0.19847305208521937</v>
      </c>
      <c r="Q938" s="5">
        <f t="shared" si="88"/>
        <v>202511</v>
      </c>
      <c r="R938" s="21">
        <f t="shared" si="89"/>
        <v>45962</v>
      </c>
    </row>
    <row r="939" spans="1:18" x14ac:dyDescent="0.25">
      <c r="A939" s="5" t="s">
        <v>1660</v>
      </c>
      <c r="B939" s="14">
        <v>45381</v>
      </c>
      <c r="C939" s="5" t="s">
        <v>96</v>
      </c>
      <c r="D939" s="10" t="s">
        <v>14</v>
      </c>
      <c r="E939" s="10" t="s">
        <v>227</v>
      </c>
      <c r="F939" s="10" t="s">
        <v>39</v>
      </c>
      <c r="G939" s="15">
        <v>2</v>
      </c>
      <c r="H939" s="11">
        <v>5659.8203000000003</v>
      </c>
      <c r="I939" s="12">
        <v>20</v>
      </c>
      <c r="J939" s="11">
        <v>9056.0910000000003</v>
      </c>
      <c r="K939" s="11">
        <v>3551.4638999999997</v>
      </c>
      <c r="L939" s="10" t="s">
        <v>34</v>
      </c>
      <c r="M939" s="5">
        <f t="shared" si="84"/>
        <v>2024</v>
      </c>
      <c r="N939" s="5">
        <f t="shared" si="85"/>
        <v>3</v>
      </c>
      <c r="O939" s="21">
        <f t="shared" si="86"/>
        <v>45352</v>
      </c>
      <c r="P939" s="13">
        <f t="shared" si="87"/>
        <v>0.3921630094043887</v>
      </c>
      <c r="Q939" s="5">
        <f t="shared" si="88"/>
        <v>202403</v>
      </c>
      <c r="R939" s="21">
        <f t="shared" si="89"/>
        <v>45352</v>
      </c>
    </row>
    <row r="940" spans="1:18" x14ac:dyDescent="0.25">
      <c r="A940" s="5" t="s">
        <v>1661</v>
      </c>
      <c r="B940" s="14">
        <v>45620</v>
      </c>
      <c r="C940" s="5" t="s">
        <v>1015</v>
      </c>
      <c r="D940" s="10" t="s">
        <v>42</v>
      </c>
      <c r="E940" s="10" t="s">
        <v>94</v>
      </c>
      <c r="F940" s="10" t="s">
        <v>75</v>
      </c>
      <c r="G940" s="15">
        <v>2</v>
      </c>
      <c r="H940" s="11">
        <v>872.48860000000002</v>
      </c>
      <c r="I940" s="12">
        <v>5</v>
      </c>
      <c r="J940" s="11">
        <v>1657.9176</v>
      </c>
      <c r="K940" s="11">
        <v>503.4316</v>
      </c>
      <c r="L940" s="10" t="s">
        <v>23</v>
      </c>
      <c r="M940" s="5">
        <f t="shared" si="84"/>
        <v>2024</v>
      </c>
      <c r="N940" s="5">
        <f t="shared" si="85"/>
        <v>11</v>
      </c>
      <c r="O940" s="21">
        <f t="shared" si="86"/>
        <v>45597</v>
      </c>
      <c r="P940" s="13">
        <f t="shared" si="87"/>
        <v>0.30365296803652969</v>
      </c>
      <c r="Q940" s="5">
        <f t="shared" si="88"/>
        <v>202411</v>
      </c>
      <c r="R940" s="21">
        <f t="shared" si="89"/>
        <v>45597</v>
      </c>
    </row>
    <row r="941" spans="1:18" x14ac:dyDescent="0.25">
      <c r="A941" s="5" t="s">
        <v>1662</v>
      </c>
      <c r="B941" s="14">
        <v>45434</v>
      </c>
      <c r="C941" s="5" t="s">
        <v>1663</v>
      </c>
      <c r="D941" s="10" t="s">
        <v>26</v>
      </c>
      <c r="E941" s="10" t="s">
        <v>246</v>
      </c>
      <c r="F941" s="10" t="s">
        <v>75</v>
      </c>
      <c r="G941" s="15">
        <v>3</v>
      </c>
      <c r="H941" s="11">
        <v>3702.8719000000001</v>
      </c>
      <c r="I941" s="12">
        <v>5</v>
      </c>
      <c r="J941" s="11">
        <v>10553.1376</v>
      </c>
      <c r="K941" s="11">
        <v>2590.9694</v>
      </c>
      <c r="L941" s="10" t="s">
        <v>23</v>
      </c>
      <c r="M941" s="5">
        <f t="shared" si="84"/>
        <v>2024</v>
      </c>
      <c r="N941" s="5">
        <f t="shared" si="85"/>
        <v>5</v>
      </c>
      <c r="O941" s="21">
        <f t="shared" si="86"/>
        <v>45413</v>
      </c>
      <c r="P941" s="13">
        <f t="shared" si="87"/>
        <v>0.24551649928263988</v>
      </c>
      <c r="Q941" s="5">
        <f t="shared" si="88"/>
        <v>202405</v>
      </c>
      <c r="R941" s="21">
        <f t="shared" si="89"/>
        <v>45413</v>
      </c>
    </row>
    <row r="942" spans="1:18" x14ac:dyDescent="0.25">
      <c r="A942" s="5" t="s">
        <v>1664</v>
      </c>
      <c r="B942" s="14">
        <v>45402</v>
      </c>
      <c r="C942" s="5" t="s">
        <v>1665</v>
      </c>
      <c r="D942" s="10" t="s">
        <v>42</v>
      </c>
      <c r="E942" s="10" t="s">
        <v>184</v>
      </c>
      <c r="F942" s="10" t="s">
        <v>49</v>
      </c>
      <c r="G942" s="15">
        <v>2</v>
      </c>
      <c r="H942" s="11">
        <v>5123.2681999999995</v>
      </c>
      <c r="I942" s="12">
        <v>0</v>
      </c>
      <c r="J942" s="11">
        <v>10246.536399999999</v>
      </c>
      <c r="K942" s="11">
        <v>4090.8548999999994</v>
      </c>
      <c r="L942" s="10" t="s">
        <v>17</v>
      </c>
      <c r="M942" s="5">
        <f t="shared" si="84"/>
        <v>2024</v>
      </c>
      <c r="N942" s="5">
        <f t="shared" si="85"/>
        <v>4</v>
      </c>
      <c r="O942" s="21">
        <f t="shared" si="86"/>
        <v>45383</v>
      </c>
      <c r="P942" s="13">
        <f t="shared" si="87"/>
        <v>0.39924270410048018</v>
      </c>
      <c r="Q942" s="5">
        <f t="shared" si="88"/>
        <v>202404</v>
      </c>
      <c r="R942" s="21">
        <f t="shared" si="89"/>
        <v>45383</v>
      </c>
    </row>
    <row r="943" spans="1:18" x14ac:dyDescent="0.25">
      <c r="A943" s="5" t="s">
        <v>1666</v>
      </c>
      <c r="B943" s="14">
        <v>45450</v>
      </c>
      <c r="C943" s="5" t="s">
        <v>649</v>
      </c>
      <c r="D943" s="10" t="s">
        <v>37</v>
      </c>
      <c r="E943" s="10" t="s">
        <v>324</v>
      </c>
      <c r="F943" s="10" t="s">
        <v>16</v>
      </c>
      <c r="G943" s="15">
        <v>2</v>
      </c>
      <c r="H943" s="11">
        <v>8189.2802000000001</v>
      </c>
      <c r="I943" s="12">
        <v>0</v>
      </c>
      <c r="J943" s="11">
        <v>16378.5604</v>
      </c>
      <c r="K943" s="11">
        <v>3453.0486999999998</v>
      </c>
      <c r="L943" s="10" t="s">
        <v>17</v>
      </c>
      <c r="M943" s="5">
        <f t="shared" si="84"/>
        <v>2024</v>
      </c>
      <c r="N943" s="5">
        <f t="shared" si="85"/>
        <v>6</v>
      </c>
      <c r="O943" s="21">
        <f t="shared" si="86"/>
        <v>45444</v>
      </c>
      <c r="P943" s="13">
        <f t="shared" si="87"/>
        <v>0.21082736306910099</v>
      </c>
      <c r="Q943" s="5">
        <f t="shared" si="88"/>
        <v>202406</v>
      </c>
      <c r="R943" s="21">
        <f t="shared" si="89"/>
        <v>45444</v>
      </c>
    </row>
    <row r="944" spans="1:18" x14ac:dyDescent="0.25">
      <c r="A944" s="5" t="s">
        <v>1667</v>
      </c>
      <c r="B944" s="14">
        <v>45633</v>
      </c>
      <c r="C944" s="5" t="s">
        <v>1668</v>
      </c>
      <c r="D944" s="10" t="s">
        <v>20</v>
      </c>
      <c r="E944" s="10" t="s">
        <v>64</v>
      </c>
      <c r="F944" s="10" t="s">
        <v>16</v>
      </c>
      <c r="G944" s="15">
        <v>2</v>
      </c>
      <c r="H944" s="11">
        <v>2801.0479999999998</v>
      </c>
      <c r="I944" s="12">
        <v>0</v>
      </c>
      <c r="J944" s="11">
        <v>5602.0959999999995</v>
      </c>
      <c r="K944" s="11">
        <v>1011.5946999999999</v>
      </c>
      <c r="L944" s="10" t="s">
        <v>17</v>
      </c>
      <c r="M944" s="5">
        <f t="shared" si="84"/>
        <v>2024</v>
      </c>
      <c r="N944" s="5">
        <f t="shared" si="85"/>
        <v>12</v>
      </c>
      <c r="O944" s="21">
        <f t="shared" si="86"/>
        <v>45627</v>
      </c>
      <c r="P944" s="13">
        <f t="shared" si="87"/>
        <v>0.18057432432432433</v>
      </c>
      <c r="Q944" s="5">
        <f t="shared" si="88"/>
        <v>202412</v>
      </c>
      <c r="R944" s="21">
        <f t="shared" si="89"/>
        <v>45627</v>
      </c>
    </row>
    <row r="945" spans="1:18" x14ac:dyDescent="0.25">
      <c r="A945" s="5" t="s">
        <v>1669</v>
      </c>
      <c r="B945" s="14">
        <v>45445</v>
      </c>
      <c r="C945" s="5" t="s">
        <v>1670</v>
      </c>
      <c r="D945" s="10" t="s">
        <v>20</v>
      </c>
      <c r="E945" s="10" t="s">
        <v>177</v>
      </c>
      <c r="F945" s="10" t="s">
        <v>49</v>
      </c>
      <c r="G945" s="15">
        <v>1</v>
      </c>
      <c r="H945" s="11">
        <v>6387.5249999999996</v>
      </c>
      <c r="I945" s="12">
        <v>0</v>
      </c>
      <c r="J945" s="11">
        <v>6387.5249999999996</v>
      </c>
      <c r="K945" s="11">
        <v>2127.2824000000001</v>
      </c>
      <c r="L945" s="10" t="s">
        <v>17</v>
      </c>
      <c r="M945" s="5">
        <f t="shared" si="84"/>
        <v>2024</v>
      </c>
      <c r="N945" s="5">
        <f t="shared" si="85"/>
        <v>6</v>
      </c>
      <c r="O945" s="21">
        <f t="shared" si="86"/>
        <v>45444</v>
      </c>
      <c r="P945" s="13">
        <f t="shared" si="87"/>
        <v>0.33303703703703708</v>
      </c>
      <c r="Q945" s="5">
        <f t="shared" si="88"/>
        <v>202406</v>
      </c>
      <c r="R945" s="21">
        <f t="shared" si="89"/>
        <v>45444</v>
      </c>
    </row>
    <row r="946" spans="1:18" x14ac:dyDescent="0.25">
      <c r="A946" s="5" t="s">
        <v>1671</v>
      </c>
      <c r="B946" s="14">
        <v>45603</v>
      </c>
      <c r="C946" s="5" t="s">
        <v>1248</v>
      </c>
      <c r="D946" s="10" t="s">
        <v>42</v>
      </c>
      <c r="E946" s="10" t="s">
        <v>177</v>
      </c>
      <c r="F946" s="10" t="s">
        <v>49</v>
      </c>
      <c r="G946" s="15">
        <v>3</v>
      </c>
      <c r="H946" s="11">
        <v>4489.2471999999998</v>
      </c>
      <c r="I946" s="12">
        <v>5</v>
      </c>
      <c r="J946" s="11">
        <v>12793.975999999999</v>
      </c>
      <c r="K946" s="11">
        <v>5639.9479999999994</v>
      </c>
      <c r="L946" s="10" t="s">
        <v>17</v>
      </c>
      <c r="M946" s="5">
        <f t="shared" si="84"/>
        <v>2024</v>
      </c>
      <c r="N946" s="5">
        <f t="shared" si="85"/>
        <v>11</v>
      </c>
      <c r="O946" s="21">
        <f t="shared" si="86"/>
        <v>45597</v>
      </c>
      <c r="P946" s="13">
        <f t="shared" si="87"/>
        <v>0.44082840236686388</v>
      </c>
      <c r="Q946" s="5">
        <f t="shared" si="88"/>
        <v>202411</v>
      </c>
      <c r="R946" s="21">
        <f t="shared" si="89"/>
        <v>45597</v>
      </c>
    </row>
    <row r="947" spans="1:18" x14ac:dyDescent="0.25">
      <c r="A947" s="5" t="s">
        <v>1672</v>
      </c>
      <c r="B947" s="14">
        <v>45391</v>
      </c>
      <c r="C947" s="5" t="s">
        <v>1673</v>
      </c>
      <c r="D947" s="10" t="s">
        <v>37</v>
      </c>
      <c r="E947" s="10" t="s">
        <v>64</v>
      </c>
      <c r="F947" s="10" t="s">
        <v>16</v>
      </c>
      <c r="G947" s="15">
        <v>3</v>
      </c>
      <c r="H947" s="11">
        <v>5798.9263999999994</v>
      </c>
      <c r="I947" s="12">
        <v>20</v>
      </c>
      <c r="J947" s="11">
        <v>13917.234099999998</v>
      </c>
      <c r="K947" s="11">
        <v>1118.5265999999999</v>
      </c>
      <c r="L947" s="10" t="s">
        <v>34</v>
      </c>
      <c r="M947" s="5">
        <f t="shared" si="84"/>
        <v>2024</v>
      </c>
      <c r="N947" s="5">
        <f t="shared" si="85"/>
        <v>4</v>
      </c>
      <c r="O947" s="21">
        <f t="shared" si="86"/>
        <v>45383</v>
      </c>
      <c r="P947" s="13">
        <f t="shared" si="87"/>
        <v>8.0369891888216499E-2</v>
      </c>
      <c r="Q947" s="5">
        <f t="shared" si="88"/>
        <v>202404</v>
      </c>
      <c r="R947" s="21">
        <f t="shared" si="89"/>
        <v>45383</v>
      </c>
    </row>
    <row r="948" spans="1:18" x14ac:dyDescent="0.25">
      <c r="A948" s="5" t="s">
        <v>1674</v>
      </c>
      <c r="B948" s="14">
        <v>45795</v>
      </c>
      <c r="C948" s="5" t="s">
        <v>1675</v>
      </c>
      <c r="D948" s="10" t="s">
        <v>14</v>
      </c>
      <c r="E948" s="10" t="s">
        <v>88</v>
      </c>
      <c r="F948" s="10" t="s">
        <v>22</v>
      </c>
      <c r="G948" s="15">
        <v>3</v>
      </c>
      <c r="H948" s="11">
        <v>2446.1855</v>
      </c>
      <c r="I948" s="12">
        <v>20</v>
      </c>
      <c r="J948" s="11">
        <v>5870.8451999999997</v>
      </c>
      <c r="K948" s="11">
        <v>2459.4336999999996</v>
      </c>
      <c r="L948" s="10" t="s">
        <v>17</v>
      </c>
      <c r="M948" s="5">
        <f t="shared" si="84"/>
        <v>2025</v>
      </c>
      <c r="N948" s="5">
        <f t="shared" si="85"/>
        <v>5</v>
      </c>
      <c r="O948" s="21">
        <f t="shared" si="86"/>
        <v>45778</v>
      </c>
      <c r="P948" s="13">
        <f t="shared" si="87"/>
        <v>0.41892327530625395</v>
      </c>
      <c r="Q948" s="5">
        <f t="shared" si="88"/>
        <v>202505</v>
      </c>
      <c r="R948" s="21">
        <f t="shared" si="89"/>
        <v>45778</v>
      </c>
    </row>
    <row r="949" spans="1:18" x14ac:dyDescent="0.25">
      <c r="A949" s="5" t="s">
        <v>1676</v>
      </c>
      <c r="B949" s="14">
        <v>45546</v>
      </c>
      <c r="C949" s="5" t="s">
        <v>498</v>
      </c>
      <c r="D949" s="10" t="s">
        <v>42</v>
      </c>
      <c r="E949" s="10" t="s">
        <v>324</v>
      </c>
      <c r="F949" s="10" t="s">
        <v>16</v>
      </c>
      <c r="G949" s="15">
        <v>1</v>
      </c>
      <c r="H949" s="11">
        <v>13838.691199999999</v>
      </c>
      <c r="I949" s="12">
        <v>15</v>
      </c>
      <c r="J949" s="11">
        <v>11762.509</v>
      </c>
      <c r="K949" s="11">
        <v>1462.0334999999998</v>
      </c>
      <c r="L949" s="10" t="s">
        <v>17</v>
      </c>
      <c r="M949" s="5">
        <f t="shared" si="84"/>
        <v>2024</v>
      </c>
      <c r="N949" s="5">
        <f t="shared" si="85"/>
        <v>9</v>
      </c>
      <c r="O949" s="21">
        <f t="shared" si="86"/>
        <v>45536</v>
      </c>
      <c r="P949" s="13">
        <f t="shared" si="87"/>
        <v>0.12429605792437649</v>
      </c>
      <c r="Q949" s="5">
        <f t="shared" si="88"/>
        <v>202409</v>
      </c>
      <c r="R949" s="21">
        <f t="shared" si="89"/>
        <v>45536</v>
      </c>
    </row>
    <row r="950" spans="1:18" x14ac:dyDescent="0.25">
      <c r="A950" s="5" t="s">
        <v>1677</v>
      </c>
      <c r="B950" s="14">
        <v>45596</v>
      </c>
      <c r="C950" s="5" t="s">
        <v>1663</v>
      </c>
      <c r="D950" s="10" t="s">
        <v>14</v>
      </c>
      <c r="E950" s="10" t="s">
        <v>61</v>
      </c>
      <c r="F950" s="10" t="s">
        <v>39</v>
      </c>
      <c r="G950" s="15">
        <v>5</v>
      </c>
      <c r="H950" s="11">
        <v>1585.9988000000001</v>
      </c>
      <c r="I950" s="12">
        <v>5</v>
      </c>
      <c r="J950" s="11">
        <v>7533.4942999999994</v>
      </c>
      <c r="K950" s="11">
        <v>2731.0218</v>
      </c>
      <c r="L950" s="10" t="s">
        <v>17</v>
      </c>
      <c r="M950" s="5">
        <f t="shared" si="84"/>
        <v>2024</v>
      </c>
      <c r="N950" s="5">
        <f t="shared" si="85"/>
        <v>10</v>
      </c>
      <c r="O950" s="21">
        <f t="shared" si="86"/>
        <v>45566</v>
      </c>
      <c r="P950" s="13">
        <f t="shared" si="87"/>
        <v>0.36251727169953524</v>
      </c>
      <c r="Q950" s="5">
        <f t="shared" si="88"/>
        <v>202410</v>
      </c>
      <c r="R950" s="21">
        <f t="shared" si="89"/>
        <v>45566</v>
      </c>
    </row>
    <row r="951" spans="1:18" x14ac:dyDescent="0.25">
      <c r="A951" s="5" t="s">
        <v>1678</v>
      </c>
      <c r="B951" s="14">
        <v>45621</v>
      </c>
      <c r="C951" s="5" t="s">
        <v>1399</v>
      </c>
      <c r="D951" s="10" t="s">
        <v>14</v>
      </c>
      <c r="E951" s="10" t="s">
        <v>74</v>
      </c>
      <c r="F951" s="10" t="s">
        <v>75</v>
      </c>
      <c r="G951" s="15">
        <v>4</v>
      </c>
      <c r="H951" s="11">
        <v>3722.7442000000001</v>
      </c>
      <c r="I951" s="12">
        <v>20</v>
      </c>
      <c r="J951" s="11">
        <v>11912.9707</v>
      </c>
      <c r="K951" s="11">
        <v>3147.3937999999998</v>
      </c>
      <c r="L951" s="10" t="s">
        <v>17</v>
      </c>
      <c r="M951" s="5">
        <f t="shared" si="84"/>
        <v>2024</v>
      </c>
      <c r="N951" s="5">
        <f t="shared" si="85"/>
        <v>11</v>
      </c>
      <c r="O951" s="21">
        <f t="shared" si="86"/>
        <v>45597</v>
      </c>
      <c r="P951" s="13">
        <f t="shared" si="87"/>
        <v>0.26419890380490901</v>
      </c>
      <c r="Q951" s="5">
        <f t="shared" si="88"/>
        <v>202411</v>
      </c>
      <c r="R951" s="21">
        <f t="shared" si="89"/>
        <v>45597</v>
      </c>
    </row>
    <row r="952" spans="1:18" x14ac:dyDescent="0.25">
      <c r="A952" s="5" t="s">
        <v>1679</v>
      </c>
      <c r="B952" s="14">
        <v>45659</v>
      </c>
      <c r="C952" s="5" t="s">
        <v>1680</v>
      </c>
      <c r="D952" s="10" t="s">
        <v>42</v>
      </c>
      <c r="E952" s="10" t="s">
        <v>80</v>
      </c>
      <c r="F952" s="10" t="s">
        <v>16</v>
      </c>
      <c r="G952" s="15">
        <v>1</v>
      </c>
      <c r="H952" s="11">
        <v>12804.3853</v>
      </c>
      <c r="I952" s="12">
        <v>20</v>
      </c>
      <c r="J952" s="11">
        <v>10243.6975</v>
      </c>
      <c r="K952" s="11">
        <v>2471.7356</v>
      </c>
      <c r="L952" s="10" t="s">
        <v>17</v>
      </c>
      <c r="M952" s="5">
        <f t="shared" si="84"/>
        <v>2025</v>
      </c>
      <c r="N952" s="5">
        <f t="shared" si="85"/>
        <v>1</v>
      </c>
      <c r="O952" s="21">
        <f t="shared" si="86"/>
        <v>45658</v>
      </c>
      <c r="P952" s="13">
        <f t="shared" si="87"/>
        <v>0.2412933025404157</v>
      </c>
      <c r="Q952" s="5">
        <f t="shared" si="88"/>
        <v>202501</v>
      </c>
      <c r="R952" s="21">
        <f t="shared" si="89"/>
        <v>45658</v>
      </c>
    </row>
    <row r="953" spans="1:18" x14ac:dyDescent="0.25">
      <c r="A953" s="5" t="s">
        <v>1681</v>
      </c>
      <c r="B953" s="14">
        <v>45308</v>
      </c>
      <c r="C953" s="5" t="s">
        <v>1682</v>
      </c>
      <c r="D953" s="10" t="s">
        <v>37</v>
      </c>
      <c r="E953" s="10" t="s">
        <v>324</v>
      </c>
      <c r="F953" s="10" t="s">
        <v>16</v>
      </c>
      <c r="G953" s="15">
        <v>1</v>
      </c>
      <c r="H953" s="11">
        <v>10959.1003</v>
      </c>
      <c r="I953" s="12">
        <v>20</v>
      </c>
      <c r="J953" s="11">
        <v>8767.4694999999992</v>
      </c>
      <c r="K953" s="11">
        <v>1035.2521999999999</v>
      </c>
      <c r="L953" s="10" t="s">
        <v>17</v>
      </c>
      <c r="M953" s="5">
        <f t="shared" si="84"/>
        <v>2024</v>
      </c>
      <c r="N953" s="5">
        <f t="shared" si="85"/>
        <v>1</v>
      </c>
      <c r="O953" s="21">
        <f t="shared" si="86"/>
        <v>45292</v>
      </c>
      <c r="P953" s="13">
        <f t="shared" si="87"/>
        <v>0.11807879114948731</v>
      </c>
      <c r="Q953" s="5">
        <f t="shared" si="88"/>
        <v>202401</v>
      </c>
      <c r="R953" s="21">
        <f t="shared" si="89"/>
        <v>45292</v>
      </c>
    </row>
    <row r="954" spans="1:18" x14ac:dyDescent="0.25">
      <c r="A954" s="5" t="s">
        <v>1683</v>
      </c>
      <c r="B954" s="14">
        <v>45887</v>
      </c>
      <c r="C954" s="5" t="s">
        <v>1684</v>
      </c>
      <c r="D954" s="10" t="s">
        <v>26</v>
      </c>
      <c r="E954" s="10" t="s">
        <v>91</v>
      </c>
      <c r="F954" s="10" t="s">
        <v>49</v>
      </c>
      <c r="G954" s="15">
        <v>2</v>
      </c>
      <c r="H954" s="11">
        <v>4006.6342</v>
      </c>
      <c r="I954" s="12">
        <v>15</v>
      </c>
      <c r="J954" s="11">
        <v>6811.4674000000005</v>
      </c>
      <c r="K954" s="11">
        <v>2413.0650000000001</v>
      </c>
      <c r="L954" s="10" t="s">
        <v>17</v>
      </c>
      <c r="M954" s="5">
        <f t="shared" si="84"/>
        <v>2025</v>
      </c>
      <c r="N954" s="5">
        <f t="shared" si="85"/>
        <v>8</v>
      </c>
      <c r="O954" s="21">
        <f t="shared" si="86"/>
        <v>45870</v>
      </c>
      <c r="P954" s="13">
        <f t="shared" si="87"/>
        <v>0.35426507363156429</v>
      </c>
      <c r="Q954" s="5">
        <f t="shared" si="88"/>
        <v>202508</v>
      </c>
      <c r="R954" s="21">
        <f t="shared" si="89"/>
        <v>45870</v>
      </c>
    </row>
    <row r="955" spans="1:18" x14ac:dyDescent="0.25">
      <c r="A955" s="5" t="s">
        <v>1685</v>
      </c>
      <c r="B955" s="14">
        <v>45610</v>
      </c>
      <c r="C955" s="5" t="s">
        <v>779</v>
      </c>
      <c r="D955" s="10" t="s">
        <v>26</v>
      </c>
      <c r="E955" s="10" t="s">
        <v>211</v>
      </c>
      <c r="F955" s="10" t="s">
        <v>39</v>
      </c>
      <c r="G955" s="15">
        <v>2</v>
      </c>
      <c r="H955" s="11">
        <v>1994.8003999999999</v>
      </c>
      <c r="I955" s="12">
        <v>10</v>
      </c>
      <c r="J955" s="11">
        <v>3590.2621999999997</v>
      </c>
      <c r="K955" s="11">
        <v>1365.5109</v>
      </c>
      <c r="L955" s="10" t="s">
        <v>23</v>
      </c>
      <c r="M955" s="5">
        <f t="shared" si="84"/>
        <v>2024</v>
      </c>
      <c r="N955" s="5">
        <f t="shared" si="85"/>
        <v>11</v>
      </c>
      <c r="O955" s="21">
        <f t="shared" si="86"/>
        <v>45597</v>
      </c>
      <c r="P955" s="13">
        <f t="shared" si="87"/>
        <v>0.38033737480231949</v>
      </c>
      <c r="Q955" s="5">
        <f t="shared" si="88"/>
        <v>202411</v>
      </c>
      <c r="R955" s="21">
        <f t="shared" si="89"/>
        <v>45597</v>
      </c>
    </row>
    <row r="956" spans="1:18" x14ac:dyDescent="0.25">
      <c r="A956" s="5" t="s">
        <v>1686</v>
      </c>
      <c r="B956" s="14">
        <v>45805</v>
      </c>
      <c r="C956" s="5" t="s">
        <v>1687</v>
      </c>
      <c r="D956" s="10" t="s">
        <v>42</v>
      </c>
      <c r="E956" s="10" t="s">
        <v>136</v>
      </c>
      <c r="F956" s="10" t="s">
        <v>75</v>
      </c>
      <c r="G956" s="15">
        <v>1</v>
      </c>
      <c r="H956" s="11">
        <v>2692.2234999999996</v>
      </c>
      <c r="I956" s="12">
        <v>0</v>
      </c>
      <c r="J956" s="11">
        <v>2692.2234999999996</v>
      </c>
      <c r="K956" s="11">
        <v>765.55669999999998</v>
      </c>
      <c r="L956" s="10" t="s">
        <v>23</v>
      </c>
      <c r="M956" s="5">
        <f t="shared" si="84"/>
        <v>2025</v>
      </c>
      <c r="N956" s="5">
        <f t="shared" si="85"/>
        <v>5</v>
      </c>
      <c r="O956" s="21">
        <f t="shared" si="86"/>
        <v>45778</v>
      </c>
      <c r="P956" s="13">
        <f t="shared" si="87"/>
        <v>0.28435852372583481</v>
      </c>
      <c r="Q956" s="5">
        <f t="shared" si="88"/>
        <v>202505</v>
      </c>
      <c r="R956" s="21">
        <f t="shared" si="89"/>
        <v>45778</v>
      </c>
    </row>
    <row r="957" spans="1:18" x14ac:dyDescent="0.25">
      <c r="A957" s="5" t="s">
        <v>1688</v>
      </c>
      <c r="B957" s="14">
        <v>45524</v>
      </c>
      <c r="C957" s="5" t="s">
        <v>959</v>
      </c>
      <c r="D957" s="10" t="s">
        <v>14</v>
      </c>
      <c r="E957" s="10" t="s">
        <v>460</v>
      </c>
      <c r="F957" s="10" t="s">
        <v>75</v>
      </c>
      <c r="G957" s="15">
        <v>2</v>
      </c>
      <c r="H957" s="11">
        <v>5387.2858999999999</v>
      </c>
      <c r="I957" s="12">
        <v>0</v>
      </c>
      <c r="J957" s="11">
        <v>10774.5718</v>
      </c>
      <c r="K957" s="11">
        <v>3494.6858999999999</v>
      </c>
      <c r="L957" s="10" t="s">
        <v>34</v>
      </c>
      <c r="M957" s="5">
        <f t="shared" si="84"/>
        <v>2024</v>
      </c>
      <c r="N957" s="5">
        <f t="shared" si="85"/>
        <v>8</v>
      </c>
      <c r="O957" s="21">
        <f t="shared" si="86"/>
        <v>45505</v>
      </c>
      <c r="P957" s="13">
        <f t="shared" si="87"/>
        <v>0.32434568768663269</v>
      </c>
      <c r="Q957" s="5">
        <f t="shared" si="88"/>
        <v>202408</v>
      </c>
      <c r="R957" s="21">
        <f t="shared" si="89"/>
        <v>45505</v>
      </c>
    </row>
    <row r="958" spans="1:18" x14ac:dyDescent="0.25">
      <c r="A958" s="5" t="s">
        <v>1689</v>
      </c>
      <c r="B958" s="14">
        <v>45864</v>
      </c>
      <c r="C958" s="5" t="s">
        <v>1030</v>
      </c>
      <c r="D958" s="10" t="s">
        <v>26</v>
      </c>
      <c r="E958" s="10" t="s">
        <v>151</v>
      </c>
      <c r="F958" s="10" t="s">
        <v>39</v>
      </c>
      <c r="G958" s="15">
        <v>1</v>
      </c>
      <c r="H958" s="11">
        <v>6736.7096999999994</v>
      </c>
      <c r="I958" s="12">
        <v>15</v>
      </c>
      <c r="J958" s="11">
        <v>5726.0612999999994</v>
      </c>
      <c r="K958" s="11">
        <v>2262.6032999999998</v>
      </c>
      <c r="L958" s="10" t="s">
        <v>17</v>
      </c>
      <c r="M958" s="5">
        <f t="shared" si="84"/>
        <v>2025</v>
      </c>
      <c r="N958" s="5">
        <f t="shared" si="85"/>
        <v>7</v>
      </c>
      <c r="O958" s="21">
        <f t="shared" si="86"/>
        <v>45839</v>
      </c>
      <c r="P958" s="13">
        <f t="shared" si="87"/>
        <v>0.39514129895884975</v>
      </c>
      <c r="Q958" s="5">
        <f t="shared" si="88"/>
        <v>202507</v>
      </c>
      <c r="R958" s="21">
        <f t="shared" si="89"/>
        <v>45839</v>
      </c>
    </row>
    <row r="959" spans="1:18" x14ac:dyDescent="0.25">
      <c r="A959" s="5" t="s">
        <v>1690</v>
      </c>
      <c r="B959" s="14">
        <v>45630</v>
      </c>
      <c r="C959" s="5" t="s">
        <v>941</v>
      </c>
      <c r="D959" s="10" t="s">
        <v>37</v>
      </c>
      <c r="E959" s="10" t="s">
        <v>556</v>
      </c>
      <c r="F959" s="10" t="s">
        <v>49</v>
      </c>
      <c r="G959" s="15">
        <v>2</v>
      </c>
      <c r="H959" s="11">
        <v>5969.2603999999992</v>
      </c>
      <c r="I959" s="12">
        <v>15</v>
      </c>
      <c r="J959" s="11">
        <v>10148.1212</v>
      </c>
      <c r="K959" s="11">
        <v>4322.6984000000002</v>
      </c>
      <c r="L959" s="10" t="s">
        <v>23</v>
      </c>
      <c r="M959" s="5">
        <f t="shared" si="84"/>
        <v>2024</v>
      </c>
      <c r="N959" s="5">
        <f t="shared" si="85"/>
        <v>12</v>
      </c>
      <c r="O959" s="21">
        <f t="shared" si="86"/>
        <v>45627</v>
      </c>
      <c r="P959" s="13">
        <f t="shared" si="87"/>
        <v>0.42596046251398734</v>
      </c>
      <c r="Q959" s="5">
        <f t="shared" si="88"/>
        <v>202412</v>
      </c>
      <c r="R959" s="21">
        <f t="shared" si="89"/>
        <v>45627</v>
      </c>
    </row>
    <row r="960" spans="1:18" x14ac:dyDescent="0.25">
      <c r="A960" s="5" t="s">
        <v>1691</v>
      </c>
      <c r="B960" s="14">
        <v>45551</v>
      </c>
      <c r="C960" s="5" t="s">
        <v>1692</v>
      </c>
      <c r="D960" s="10" t="s">
        <v>26</v>
      </c>
      <c r="E960" s="10" t="s">
        <v>108</v>
      </c>
      <c r="F960" s="10" t="s">
        <v>75</v>
      </c>
      <c r="G960" s="15">
        <v>4</v>
      </c>
      <c r="H960" s="11">
        <v>4678.5072</v>
      </c>
      <c r="I960" s="12">
        <v>0</v>
      </c>
      <c r="J960" s="11">
        <v>18714.0288</v>
      </c>
      <c r="K960" s="11">
        <v>4754.2111999999997</v>
      </c>
      <c r="L960" s="10" t="s">
        <v>23</v>
      </c>
      <c r="M960" s="5">
        <f t="shared" si="84"/>
        <v>2024</v>
      </c>
      <c r="N960" s="5">
        <f t="shared" si="85"/>
        <v>9</v>
      </c>
      <c r="O960" s="21">
        <f t="shared" si="86"/>
        <v>45536</v>
      </c>
      <c r="P960" s="13">
        <f t="shared" si="87"/>
        <v>0.25404530744336568</v>
      </c>
      <c r="Q960" s="5">
        <f t="shared" si="88"/>
        <v>202409</v>
      </c>
      <c r="R960" s="21">
        <f t="shared" si="89"/>
        <v>45536</v>
      </c>
    </row>
    <row r="961" spans="1:18" x14ac:dyDescent="0.25">
      <c r="A961" s="5" t="s">
        <v>1693</v>
      </c>
      <c r="B961" s="14">
        <v>45445</v>
      </c>
      <c r="C961" s="5" t="s">
        <v>1694</v>
      </c>
      <c r="D961" s="10" t="s">
        <v>20</v>
      </c>
      <c r="E961" s="10" t="s">
        <v>21</v>
      </c>
      <c r="F961" s="10" t="s">
        <v>22</v>
      </c>
      <c r="G961" s="15">
        <v>1</v>
      </c>
      <c r="H961" s="11">
        <v>4639.7088999999996</v>
      </c>
      <c r="I961" s="12">
        <v>0</v>
      </c>
      <c r="J961" s="11">
        <v>4639.7088999999996</v>
      </c>
      <c r="K961" s="11">
        <v>2194.4697000000001</v>
      </c>
      <c r="L961" s="10" t="s">
        <v>17</v>
      </c>
      <c r="M961" s="5">
        <f t="shared" si="84"/>
        <v>2024</v>
      </c>
      <c r="N961" s="5">
        <f t="shared" si="85"/>
        <v>6</v>
      </c>
      <c r="O961" s="21">
        <f t="shared" si="86"/>
        <v>45444</v>
      </c>
      <c r="P961" s="13">
        <f t="shared" si="87"/>
        <v>0.47297572914542124</v>
      </c>
      <c r="Q961" s="5">
        <f t="shared" si="88"/>
        <v>202406</v>
      </c>
      <c r="R961" s="21">
        <f t="shared" si="89"/>
        <v>45444</v>
      </c>
    </row>
    <row r="962" spans="1:18" x14ac:dyDescent="0.25">
      <c r="A962" s="5" t="s">
        <v>1695</v>
      </c>
      <c r="B962" s="14">
        <v>45463</v>
      </c>
      <c r="C962" s="5" t="s">
        <v>1536</v>
      </c>
      <c r="D962" s="10" t="s">
        <v>26</v>
      </c>
      <c r="E962" s="10" t="s">
        <v>211</v>
      </c>
      <c r="F962" s="10" t="s">
        <v>39</v>
      </c>
      <c r="G962" s="15">
        <v>1</v>
      </c>
      <c r="H962" s="11">
        <v>3600.6714999999995</v>
      </c>
      <c r="I962" s="12">
        <v>0</v>
      </c>
      <c r="J962" s="11">
        <v>3600.6714999999995</v>
      </c>
      <c r="K962" s="11">
        <v>1221.6732999999999</v>
      </c>
      <c r="L962" s="10" t="s">
        <v>23</v>
      </c>
      <c r="M962" s="5">
        <f t="shared" ref="M962:M1001" si="90">YEAR(B962)</f>
        <v>2024</v>
      </c>
      <c r="N962" s="5">
        <f t="shared" ref="N962:N1001" si="91">MONTH(B962)</f>
        <v>6</v>
      </c>
      <c r="O962" s="21">
        <f t="shared" ref="O962:O1001" si="92">DATE(YEAR(B962),MONTH(B962),1)</f>
        <v>45444</v>
      </c>
      <c r="P962" s="13">
        <f t="shared" ref="P962:P1001" si="93">(K962/J962)</f>
        <v>0.33929040735873855</v>
      </c>
      <c r="Q962" s="5">
        <f t="shared" ref="Q962:Q1001" si="94">YEAR(B962)*100+MONTH(B962)</f>
        <v>202406</v>
      </c>
      <c r="R962" s="21">
        <f t="shared" ref="R962:R1001" si="95">DATE(YEAR(B962),MONTH(B962),1)</f>
        <v>45444</v>
      </c>
    </row>
    <row r="963" spans="1:18" x14ac:dyDescent="0.25">
      <c r="A963" s="5" t="s">
        <v>1696</v>
      </c>
      <c r="B963" s="14">
        <v>45694</v>
      </c>
      <c r="C963" s="5" t="s">
        <v>1697</v>
      </c>
      <c r="D963" s="10" t="s">
        <v>42</v>
      </c>
      <c r="E963" s="10" t="s">
        <v>141</v>
      </c>
      <c r="F963" s="10" t="s">
        <v>16</v>
      </c>
      <c r="G963" s="15">
        <v>1</v>
      </c>
      <c r="H963" s="11">
        <v>4780.7075999999997</v>
      </c>
      <c r="I963" s="12">
        <v>5</v>
      </c>
      <c r="J963" s="11">
        <v>4541.2937000000002</v>
      </c>
      <c r="K963" s="11">
        <v>1125.1506999999999</v>
      </c>
      <c r="L963" s="10" t="s">
        <v>34</v>
      </c>
      <c r="M963" s="5">
        <f t="shared" si="90"/>
        <v>2025</v>
      </c>
      <c r="N963" s="5">
        <f t="shared" si="91"/>
        <v>2</v>
      </c>
      <c r="O963" s="21">
        <f t="shared" si="92"/>
        <v>45689</v>
      </c>
      <c r="P963" s="13">
        <f t="shared" si="93"/>
        <v>0.24775994998958115</v>
      </c>
      <c r="Q963" s="5">
        <f t="shared" si="94"/>
        <v>202502</v>
      </c>
      <c r="R963" s="21">
        <f t="shared" si="95"/>
        <v>45689</v>
      </c>
    </row>
    <row r="964" spans="1:18" x14ac:dyDescent="0.25">
      <c r="A964" s="5" t="s">
        <v>1698</v>
      </c>
      <c r="B964" s="14">
        <v>45907</v>
      </c>
      <c r="C964" s="5" t="s">
        <v>1464</v>
      </c>
      <c r="D964" s="10" t="s">
        <v>42</v>
      </c>
      <c r="E964" s="10" t="s">
        <v>324</v>
      </c>
      <c r="F964" s="10" t="s">
        <v>16</v>
      </c>
      <c r="G964" s="15">
        <v>1</v>
      </c>
      <c r="H964" s="11">
        <v>9110.0300999999999</v>
      </c>
      <c r="I964" s="12">
        <v>15</v>
      </c>
      <c r="J964" s="11">
        <v>7743.5728999999992</v>
      </c>
      <c r="K964" s="11">
        <v>1641.8305</v>
      </c>
      <c r="L964" s="10" t="s">
        <v>23</v>
      </c>
      <c r="M964" s="5">
        <f t="shared" si="90"/>
        <v>2025</v>
      </c>
      <c r="N964" s="5">
        <f t="shared" si="91"/>
        <v>9</v>
      </c>
      <c r="O964" s="21">
        <f t="shared" si="92"/>
        <v>45901</v>
      </c>
      <c r="P964" s="13">
        <f t="shared" si="93"/>
        <v>0.21202492973237203</v>
      </c>
      <c r="Q964" s="5">
        <f t="shared" si="94"/>
        <v>202509</v>
      </c>
      <c r="R964" s="21">
        <f t="shared" si="95"/>
        <v>45901</v>
      </c>
    </row>
    <row r="965" spans="1:18" x14ac:dyDescent="0.25">
      <c r="A965" s="5" t="s">
        <v>1699</v>
      </c>
      <c r="B965" s="14">
        <v>45609</v>
      </c>
      <c r="C965" s="5" t="s">
        <v>527</v>
      </c>
      <c r="D965" s="10" t="s">
        <v>37</v>
      </c>
      <c r="E965" s="10" t="s">
        <v>269</v>
      </c>
      <c r="F965" s="10" t="s">
        <v>75</v>
      </c>
      <c r="G965" s="15">
        <v>2</v>
      </c>
      <c r="H965" s="11">
        <v>3336.6537999999996</v>
      </c>
      <c r="I965" s="12">
        <v>0</v>
      </c>
      <c r="J965" s="11">
        <v>6673.3075999999992</v>
      </c>
      <c r="K965" s="11">
        <v>1273.7198000000001</v>
      </c>
      <c r="L965" s="10" t="s">
        <v>17</v>
      </c>
      <c r="M965" s="5">
        <f t="shared" si="90"/>
        <v>2024</v>
      </c>
      <c r="N965" s="5">
        <f t="shared" si="91"/>
        <v>11</v>
      </c>
      <c r="O965" s="21">
        <f t="shared" si="92"/>
        <v>45597</v>
      </c>
      <c r="P965" s="13">
        <f t="shared" si="93"/>
        <v>0.19086783891094727</v>
      </c>
      <c r="Q965" s="5">
        <f t="shared" si="94"/>
        <v>202411</v>
      </c>
      <c r="R965" s="21">
        <f t="shared" si="95"/>
        <v>45597</v>
      </c>
    </row>
    <row r="966" spans="1:18" x14ac:dyDescent="0.25">
      <c r="A966" s="5" t="s">
        <v>1700</v>
      </c>
      <c r="B966" s="14">
        <v>45574</v>
      </c>
      <c r="C966" s="5" t="s">
        <v>611</v>
      </c>
      <c r="D966" s="10" t="s">
        <v>37</v>
      </c>
      <c r="E966" s="10" t="s">
        <v>291</v>
      </c>
      <c r="F966" s="10" t="s">
        <v>22</v>
      </c>
      <c r="G966" s="15">
        <v>1</v>
      </c>
      <c r="H966" s="11">
        <v>3620.5437999999995</v>
      </c>
      <c r="I966" s="12">
        <v>5</v>
      </c>
      <c r="J966" s="11">
        <v>3439.8004999999998</v>
      </c>
      <c r="K966" s="11">
        <v>1943.7001999999998</v>
      </c>
      <c r="L966" s="10" t="s">
        <v>17</v>
      </c>
      <c r="M966" s="5">
        <f t="shared" si="90"/>
        <v>2024</v>
      </c>
      <c r="N966" s="5">
        <f t="shared" si="91"/>
        <v>10</v>
      </c>
      <c r="O966" s="21">
        <f t="shared" si="92"/>
        <v>45566</v>
      </c>
      <c r="P966" s="13">
        <f t="shared" si="93"/>
        <v>0.56506189821182939</v>
      </c>
      <c r="Q966" s="5">
        <f t="shared" si="94"/>
        <v>202410</v>
      </c>
      <c r="R966" s="21">
        <f t="shared" si="95"/>
        <v>45566</v>
      </c>
    </row>
    <row r="967" spans="1:18" x14ac:dyDescent="0.25">
      <c r="A967" s="5" t="s">
        <v>1701</v>
      </c>
      <c r="B967" s="14">
        <v>45997</v>
      </c>
      <c r="C967" s="5" t="s">
        <v>1702</v>
      </c>
      <c r="D967" s="10" t="s">
        <v>20</v>
      </c>
      <c r="E967" s="10" t="s">
        <v>269</v>
      </c>
      <c r="F967" s="10" t="s">
        <v>75</v>
      </c>
      <c r="G967" s="15">
        <v>1</v>
      </c>
      <c r="H967" s="11">
        <v>828.01249999999993</v>
      </c>
      <c r="I967" s="12">
        <v>0</v>
      </c>
      <c r="J967" s="11">
        <v>828.01249999999993</v>
      </c>
      <c r="K967" s="11">
        <v>235.62870000000001</v>
      </c>
      <c r="L967" s="10" t="s">
        <v>17</v>
      </c>
      <c r="M967" s="5">
        <f t="shared" si="90"/>
        <v>2025</v>
      </c>
      <c r="N967" s="5">
        <f t="shared" si="91"/>
        <v>12</v>
      </c>
      <c r="O967" s="21">
        <f t="shared" si="92"/>
        <v>45992</v>
      </c>
      <c r="P967" s="13">
        <f t="shared" si="93"/>
        <v>0.28457142857142859</v>
      </c>
      <c r="Q967" s="5">
        <f t="shared" si="94"/>
        <v>202512</v>
      </c>
      <c r="R967" s="21">
        <f t="shared" si="95"/>
        <v>45992</v>
      </c>
    </row>
    <row r="968" spans="1:18" x14ac:dyDescent="0.25">
      <c r="A968" s="5" t="s">
        <v>1703</v>
      </c>
      <c r="B968" s="14">
        <v>45653</v>
      </c>
      <c r="C968" s="5" t="s">
        <v>1138</v>
      </c>
      <c r="D968" s="10" t="s">
        <v>26</v>
      </c>
      <c r="E968" s="10" t="s">
        <v>52</v>
      </c>
      <c r="F968" s="10" t="s">
        <v>39</v>
      </c>
      <c r="G968" s="15">
        <v>4</v>
      </c>
      <c r="H968" s="11">
        <v>7435.079099999999</v>
      </c>
      <c r="I968" s="12">
        <v>5</v>
      </c>
      <c r="J968" s="11">
        <v>28253.679099999998</v>
      </c>
      <c r="K968" s="11">
        <v>6477.4234999999999</v>
      </c>
      <c r="L968" s="10" t="s">
        <v>17</v>
      </c>
      <c r="M968" s="5">
        <f t="shared" si="90"/>
        <v>2024</v>
      </c>
      <c r="N968" s="5">
        <f t="shared" si="91"/>
        <v>12</v>
      </c>
      <c r="O968" s="21">
        <f t="shared" si="92"/>
        <v>45627</v>
      </c>
      <c r="P968" s="13">
        <f t="shared" si="93"/>
        <v>0.22925947014100548</v>
      </c>
      <c r="Q968" s="5">
        <f t="shared" si="94"/>
        <v>202412</v>
      </c>
      <c r="R968" s="21">
        <f t="shared" si="95"/>
        <v>45627</v>
      </c>
    </row>
    <row r="969" spans="1:18" x14ac:dyDescent="0.25">
      <c r="A969" s="5" t="s">
        <v>1704</v>
      </c>
      <c r="B969" s="14">
        <v>45891</v>
      </c>
      <c r="C969" s="10" t="s">
        <v>666</v>
      </c>
      <c r="D969" s="10" t="s">
        <v>37</v>
      </c>
      <c r="E969" s="10" t="s">
        <v>43</v>
      </c>
      <c r="F969" s="10" t="s">
        <v>22</v>
      </c>
      <c r="G969" s="15">
        <v>1</v>
      </c>
      <c r="H969" s="11">
        <v>954.81669999999997</v>
      </c>
      <c r="I969" s="12">
        <v>25</v>
      </c>
      <c r="J969" s="11">
        <v>716.34910000000002</v>
      </c>
      <c r="K969" s="11">
        <v>313.2253</v>
      </c>
      <c r="L969" s="10" t="s">
        <v>23</v>
      </c>
      <c r="M969" s="5">
        <f t="shared" si="90"/>
        <v>2025</v>
      </c>
      <c r="N969" s="5">
        <f t="shared" si="91"/>
        <v>8</v>
      </c>
      <c r="O969" s="21">
        <f t="shared" si="92"/>
        <v>45870</v>
      </c>
      <c r="P969" s="13">
        <f t="shared" si="93"/>
        <v>0.43725231175693524</v>
      </c>
      <c r="Q969" s="5">
        <f t="shared" si="94"/>
        <v>202508</v>
      </c>
      <c r="R969" s="21">
        <f t="shared" si="95"/>
        <v>45870</v>
      </c>
    </row>
    <row r="970" spans="1:18" x14ac:dyDescent="0.25">
      <c r="A970" s="5" t="s">
        <v>1705</v>
      </c>
      <c r="B970" s="14">
        <v>45505</v>
      </c>
      <c r="C970" s="10" t="s">
        <v>820</v>
      </c>
      <c r="D970" s="10" t="s">
        <v>14</v>
      </c>
      <c r="E970" s="10" t="s">
        <v>30</v>
      </c>
      <c r="F970" s="10" t="s">
        <v>16</v>
      </c>
      <c r="G970" s="15">
        <v>2</v>
      </c>
      <c r="H970" s="11">
        <v>10582.472899999999</v>
      </c>
      <c r="I970" s="12">
        <v>5</v>
      </c>
      <c r="J970" s="11">
        <v>20106.982399999997</v>
      </c>
      <c r="K970" s="11">
        <v>4843.1633999999995</v>
      </c>
      <c r="L970" s="10" t="s">
        <v>17</v>
      </c>
      <c r="M970" s="5">
        <f t="shared" si="90"/>
        <v>2024</v>
      </c>
      <c r="N970" s="5">
        <f t="shared" si="91"/>
        <v>8</v>
      </c>
      <c r="O970" s="21">
        <f t="shared" si="92"/>
        <v>45505</v>
      </c>
      <c r="P970" s="13">
        <f t="shared" si="93"/>
        <v>0.24086972891566266</v>
      </c>
      <c r="Q970" s="5">
        <f t="shared" si="94"/>
        <v>202408</v>
      </c>
      <c r="R970" s="21">
        <f t="shared" si="95"/>
        <v>45505</v>
      </c>
    </row>
    <row r="971" spans="1:18" x14ac:dyDescent="0.25">
      <c r="A971" s="5" t="s">
        <v>1706</v>
      </c>
      <c r="B971" s="14">
        <v>45964</v>
      </c>
      <c r="C971" s="10" t="s">
        <v>365</v>
      </c>
      <c r="D971" s="10" t="s">
        <v>42</v>
      </c>
      <c r="E971" s="10" t="s">
        <v>222</v>
      </c>
      <c r="F971" s="10" t="s">
        <v>22</v>
      </c>
      <c r="G971" s="15">
        <v>3</v>
      </c>
      <c r="H971" s="11">
        <v>3917.6819999999998</v>
      </c>
      <c r="I971" s="12">
        <v>5</v>
      </c>
      <c r="J971" s="11">
        <v>11165.393699999999</v>
      </c>
      <c r="K971" s="11">
        <v>6730.0856000000003</v>
      </c>
      <c r="L971" s="10" t="s">
        <v>17</v>
      </c>
      <c r="M971" s="5">
        <f t="shared" si="90"/>
        <v>2025</v>
      </c>
      <c r="N971" s="5">
        <f t="shared" si="91"/>
        <v>11</v>
      </c>
      <c r="O971" s="21">
        <f t="shared" si="92"/>
        <v>45962</v>
      </c>
      <c r="P971" s="13">
        <f t="shared" si="93"/>
        <v>0.60276294601237401</v>
      </c>
      <c r="Q971" s="5">
        <f t="shared" si="94"/>
        <v>202511</v>
      </c>
      <c r="R971" s="21">
        <f t="shared" si="95"/>
        <v>45962</v>
      </c>
    </row>
    <row r="972" spans="1:18" x14ac:dyDescent="0.25">
      <c r="A972" s="5" t="s">
        <v>1707</v>
      </c>
      <c r="B972" s="14">
        <v>45375</v>
      </c>
      <c r="C972" s="10" t="s">
        <v>1708</v>
      </c>
      <c r="D972" s="10" t="s">
        <v>26</v>
      </c>
      <c r="E972" s="10" t="s">
        <v>91</v>
      </c>
      <c r="F972" s="10" t="s">
        <v>49</v>
      </c>
      <c r="G972" s="15">
        <v>2</v>
      </c>
      <c r="H972" s="11">
        <v>5995.7568000000001</v>
      </c>
      <c r="I972" s="12">
        <v>10</v>
      </c>
      <c r="J972" s="11">
        <v>10792.5515</v>
      </c>
      <c r="K972" s="11">
        <v>3316.7814999999996</v>
      </c>
      <c r="L972" s="10" t="s">
        <v>17</v>
      </c>
      <c r="M972" s="5">
        <f t="shared" si="90"/>
        <v>2024</v>
      </c>
      <c r="N972" s="5">
        <f t="shared" si="91"/>
        <v>3</v>
      </c>
      <c r="O972" s="21">
        <f t="shared" si="92"/>
        <v>45352</v>
      </c>
      <c r="P972" s="13">
        <f t="shared" si="93"/>
        <v>0.30732135028496271</v>
      </c>
      <c r="Q972" s="5">
        <f t="shared" si="94"/>
        <v>202403</v>
      </c>
      <c r="R972" s="21">
        <f t="shared" si="95"/>
        <v>45352</v>
      </c>
    </row>
    <row r="973" spans="1:18" x14ac:dyDescent="0.25">
      <c r="A973" s="5" t="s">
        <v>1709</v>
      </c>
      <c r="B973" s="14">
        <v>45454</v>
      </c>
      <c r="C973" s="10" t="s">
        <v>842</v>
      </c>
      <c r="D973" s="10" t="s">
        <v>20</v>
      </c>
      <c r="E973" s="10" t="s">
        <v>141</v>
      </c>
      <c r="F973" s="10" t="s">
        <v>16</v>
      </c>
      <c r="G973" s="15">
        <v>3</v>
      </c>
      <c r="H973" s="11">
        <v>5615.3442000000005</v>
      </c>
      <c r="I973" s="12">
        <v>10</v>
      </c>
      <c r="J973" s="11">
        <v>15161.6186</v>
      </c>
      <c r="K973" s="11">
        <v>2677.0826999999999</v>
      </c>
      <c r="L973" s="10" t="s">
        <v>17</v>
      </c>
      <c r="M973" s="5">
        <f t="shared" si="90"/>
        <v>2024</v>
      </c>
      <c r="N973" s="5">
        <f t="shared" si="91"/>
        <v>6</v>
      </c>
      <c r="O973" s="21">
        <f t="shared" si="92"/>
        <v>45444</v>
      </c>
      <c r="P973" s="13">
        <f t="shared" si="93"/>
        <v>0.17656971663962051</v>
      </c>
      <c r="Q973" s="5">
        <f t="shared" si="94"/>
        <v>202406</v>
      </c>
      <c r="R973" s="21">
        <f t="shared" si="95"/>
        <v>45444</v>
      </c>
    </row>
    <row r="974" spans="1:18" x14ac:dyDescent="0.25">
      <c r="A974" s="5" t="s">
        <v>1710</v>
      </c>
      <c r="B974" s="14">
        <v>45765</v>
      </c>
      <c r="C974" s="10" t="s">
        <v>1711</v>
      </c>
      <c r="D974" s="10" t="s">
        <v>26</v>
      </c>
      <c r="E974" s="10" t="s">
        <v>43</v>
      </c>
      <c r="F974" s="10" t="s">
        <v>22</v>
      </c>
      <c r="G974" s="15">
        <v>1</v>
      </c>
      <c r="H974" s="11">
        <v>1206.5325</v>
      </c>
      <c r="I974" s="12">
        <v>15</v>
      </c>
      <c r="J974" s="11">
        <v>1025.7891999999999</v>
      </c>
      <c r="K974" s="11">
        <v>431.51279999999997</v>
      </c>
      <c r="L974" s="10" t="s">
        <v>17</v>
      </c>
      <c r="M974" s="5">
        <f t="shared" si="90"/>
        <v>2025</v>
      </c>
      <c r="N974" s="5">
        <f t="shared" si="91"/>
        <v>4</v>
      </c>
      <c r="O974" s="21">
        <f t="shared" si="92"/>
        <v>45748</v>
      </c>
      <c r="P974" s="13">
        <f t="shared" si="93"/>
        <v>0.42066420664206644</v>
      </c>
      <c r="Q974" s="5">
        <f t="shared" si="94"/>
        <v>202504</v>
      </c>
      <c r="R974" s="21">
        <f t="shared" si="95"/>
        <v>45748</v>
      </c>
    </row>
    <row r="975" spans="1:18" x14ac:dyDescent="0.25">
      <c r="A975" s="5" t="s">
        <v>1712</v>
      </c>
      <c r="B975" s="14">
        <v>45482</v>
      </c>
      <c r="C975" s="10" t="s">
        <v>1713</v>
      </c>
      <c r="D975" s="10" t="s">
        <v>14</v>
      </c>
      <c r="E975" s="10" t="s">
        <v>105</v>
      </c>
      <c r="F975" s="10" t="s">
        <v>39</v>
      </c>
      <c r="G975" s="15">
        <v>1</v>
      </c>
      <c r="H975" s="11">
        <v>6009.0050000000001</v>
      </c>
      <c r="I975" s="12">
        <v>5</v>
      </c>
      <c r="J975" s="11">
        <v>5709.0278999999991</v>
      </c>
      <c r="K975" s="11">
        <v>1201.8009999999999</v>
      </c>
      <c r="L975" s="10" t="s">
        <v>23</v>
      </c>
      <c r="M975" s="5">
        <f t="shared" si="90"/>
        <v>2024</v>
      </c>
      <c r="N975" s="5">
        <f t="shared" si="91"/>
        <v>7</v>
      </c>
      <c r="O975" s="21">
        <f t="shared" si="92"/>
        <v>45474</v>
      </c>
      <c r="P975" s="13">
        <f t="shared" si="93"/>
        <v>0.21050886789325379</v>
      </c>
      <c r="Q975" s="5">
        <f t="shared" si="94"/>
        <v>202407</v>
      </c>
      <c r="R975" s="21">
        <f t="shared" si="95"/>
        <v>45474</v>
      </c>
    </row>
    <row r="976" spans="1:18" x14ac:dyDescent="0.25">
      <c r="A976" s="5" t="s">
        <v>1714</v>
      </c>
      <c r="B976" s="14">
        <v>45855</v>
      </c>
      <c r="C976" s="10" t="s">
        <v>1715</v>
      </c>
      <c r="D976" s="10" t="s">
        <v>20</v>
      </c>
      <c r="E976" s="10" t="s">
        <v>286</v>
      </c>
      <c r="F976" s="10" t="s">
        <v>39</v>
      </c>
      <c r="G976" s="15">
        <v>1</v>
      </c>
      <c r="H976" s="11">
        <v>5356.058</v>
      </c>
      <c r="I976" s="12">
        <v>10</v>
      </c>
      <c r="J976" s="11">
        <v>4820.4521999999997</v>
      </c>
      <c r="K976" s="11">
        <v>1857.5868999999998</v>
      </c>
      <c r="L976" s="10" t="s">
        <v>17</v>
      </c>
      <c r="M976" s="5">
        <f t="shared" si="90"/>
        <v>2025</v>
      </c>
      <c r="N976" s="5">
        <f t="shared" si="91"/>
        <v>7</v>
      </c>
      <c r="O976" s="21">
        <f t="shared" si="92"/>
        <v>45839</v>
      </c>
      <c r="P976" s="13">
        <f t="shared" si="93"/>
        <v>0.38535531998429523</v>
      </c>
      <c r="Q976" s="5">
        <f t="shared" si="94"/>
        <v>202507</v>
      </c>
      <c r="R976" s="21">
        <f t="shared" si="95"/>
        <v>45839</v>
      </c>
    </row>
    <row r="977" spans="1:18" x14ac:dyDescent="0.25">
      <c r="A977" s="5" t="s">
        <v>1716</v>
      </c>
      <c r="B977" s="14">
        <v>45296</v>
      </c>
      <c r="C977" s="10" t="s">
        <v>1717</v>
      </c>
      <c r="D977" s="10" t="s">
        <v>14</v>
      </c>
      <c r="E977" s="10" t="s">
        <v>556</v>
      </c>
      <c r="F977" s="10" t="s">
        <v>49</v>
      </c>
      <c r="G977" s="15">
        <v>3</v>
      </c>
      <c r="H977" s="11">
        <v>3231.6144999999997</v>
      </c>
      <c r="I977" s="12">
        <v>0</v>
      </c>
      <c r="J977" s="11">
        <v>9694.843499999999</v>
      </c>
      <c r="K977" s="11">
        <v>3092.5083999999997</v>
      </c>
      <c r="L977" s="10" t="s">
        <v>23</v>
      </c>
      <c r="M977" s="5">
        <f t="shared" si="90"/>
        <v>2024</v>
      </c>
      <c r="N977" s="5">
        <f t="shared" si="91"/>
        <v>1</v>
      </c>
      <c r="O977" s="21">
        <f t="shared" si="92"/>
        <v>45292</v>
      </c>
      <c r="P977" s="13">
        <f t="shared" si="93"/>
        <v>0.31898487066861886</v>
      </c>
      <c r="Q977" s="5">
        <f t="shared" si="94"/>
        <v>202401</v>
      </c>
      <c r="R977" s="21">
        <f t="shared" si="95"/>
        <v>45292</v>
      </c>
    </row>
    <row r="978" spans="1:18" x14ac:dyDescent="0.25">
      <c r="A978" s="5" t="s">
        <v>1718</v>
      </c>
      <c r="B978" s="14">
        <v>45804</v>
      </c>
      <c r="C978" s="10" t="s">
        <v>889</v>
      </c>
      <c r="D978" s="10" t="s">
        <v>26</v>
      </c>
      <c r="E978" s="10" t="s">
        <v>187</v>
      </c>
      <c r="F978" s="10" t="s">
        <v>75</v>
      </c>
      <c r="G978" s="15">
        <v>4</v>
      </c>
      <c r="H978" s="11">
        <v>2486.8764000000001</v>
      </c>
      <c r="I978" s="12">
        <v>0</v>
      </c>
      <c r="J978" s="11">
        <v>9947.5056000000004</v>
      </c>
      <c r="K978" s="11">
        <v>3448.3171999999995</v>
      </c>
      <c r="L978" s="10" t="s">
        <v>23</v>
      </c>
      <c r="M978" s="5">
        <f t="shared" si="90"/>
        <v>2025</v>
      </c>
      <c r="N978" s="5">
        <f t="shared" si="91"/>
        <v>5</v>
      </c>
      <c r="O978" s="21">
        <f t="shared" si="92"/>
        <v>45778</v>
      </c>
      <c r="P978" s="13">
        <f t="shared" si="93"/>
        <v>0.34665144596651437</v>
      </c>
      <c r="Q978" s="5">
        <f t="shared" si="94"/>
        <v>202505</v>
      </c>
      <c r="R978" s="21">
        <f t="shared" si="95"/>
        <v>45778</v>
      </c>
    </row>
    <row r="979" spans="1:18" x14ac:dyDescent="0.25">
      <c r="A979" s="5" t="s">
        <v>1719</v>
      </c>
      <c r="B979" s="14">
        <v>45768</v>
      </c>
      <c r="C979" s="10" t="s">
        <v>1216</v>
      </c>
      <c r="D979" s="10" t="s">
        <v>20</v>
      </c>
      <c r="E979" s="10" t="s">
        <v>460</v>
      </c>
      <c r="F979" s="10" t="s">
        <v>75</v>
      </c>
      <c r="G979" s="15">
        <v>1</v>
      </c>
      <c r="H979" s="11">
        <v>988.88349999999991</v>
      </c>
      <c r="I979" s="12">
        <v>5</v>
      </c>
      <c r="J979" s="11">
        <v>939.67589999999996</v>
      </c>
      <c r="K979" s="11">
        <v>274.42699999999996</v>
      </c>
      <c r="L979" s="10" t="s">
        <v>17</v>
      </c>
      <c r="M979" s="5">
        <f t="shared" si="90"/>
        <v>2025</v>
      </c>
      <c r="N979" s="5">
        <f t="shared" si="91"/>
        <v>4</v>
      </c>
      <c r="O979" s="21">
        <f t="shared" si="92"/>
        <v>45748</v>
      </c>
      <c r="P979" s="13">
        <f t="shared" si="93"/>
        <v>0.29204431017119836</v>
      </c>
      <c r="Q979" s="5">
        <f t="shared" si="94"/>
        <v>202504</v>
      </c>
      <c r="R979" s="21">
        <f t="shared" si="95"/>
        <v>45748</v>
      </c>
    </row>
    <row r="980" spans="1:18" x14ac:dyDescent="0.25">
      <c r="A980" s="5" t="s">
        <v>1720</v>
      </c>
      <c r="B980" s="14">
        <v>45389</v>
      </c>
      <c r="C980" s="10" t="s">
        <v>181</v>
      </c>
      <c r="D980" s="10" t="s">
        <v>42</v>
      </c>
      <c r="E980" s="10" t="s">
        <v>227</v>
      </c>
      <c r="F980" s="10" t="s">
        <v>39</v>
      </c>
      <c r="G980" s="15">
        <v>2</v>
      </c>
      <c r="H980" s="11">
        <v>4939.6859999999997</v>
      </c>
      <c r="I980" s="12">
        <v>10</v>
      </c>
      <c r="J980" s="11">
        <v>8891.4347999999991</v>
      </c>
      <c r="K980" s="11">
        <v>2219.0735</v>
      </c>
      <c r="L980" s="10" t="s">
        <v>17</v>
      </c>
      <c r="M980" s="5">
        <f t="shared" si="90"/>
        <v>2024</v>
      </c>
      <c r="N980" s="5">
        <f t="shared" si="91"/>
        <v>4</v>
      </c>
      <c r="O980" s="21">
        <f t="shared" si="92"/>
        <v>45383</v>
      </c>
      <c r="P980" s="13">
        <f t="shared" si="93"/>
        <v>0.24957428693060879</v>
      </c>
      <c r="Q980" s="5">
        <f t="shared" si="94"/>
        <v>202404</v>
      </c>
      <c r="R980" s="21">
        <f t="shared" si="95"/>
        <v>45383</v>
      </c>
    </row>
    <row r="981" spans="1:18" x14ac:dyDescent="0.25">
      <c r="A981" s="5" t="s">
        <v>1721</v>
      </c>
      <c r="B981" s="14">
        <v>45977</v>
      </c>
      <c r="C981" s="10" t="s">
        <v>1441</v>
      </c>
      <c r="D981" s="10" t="s">
        <v>26</v>
      </c>
      <c r="E981" s="10" t="s">
        <v>154</v>
      </c>
      <c r="F981" s="10" t="s">
        <v>39</v>
      </c>
      <c r="G981" s="15">
        <v>1</v>
      </c>
      <c r="H981" s="11">
        <v>1160.1638</v>
      </c>
      <c r="I981" s="12">
        <v>20</v>
      </c>
      <c r="J981" s="11">
        <v>928.32029999999997</v>
      </c>
      <c r="K981" s="11">
        <v>334.99019999999996</v>
      </c>
      <c r="L981" s="10" t="s">
        <v>17</v>
      </c>
      <c r="M981" s="5">
        <f t="shared" si="90"/>
        <v>2025</v>
      </c>
      <c r="N981" s="5">
        <f t="shared" si="91"/>
        <v>11</v>
      </c>
      <c r="O981" s="21">
        <f t="shared" si="92"/>
        <v>45962</v>
      </c>
      <c r="P981" s="13">
        <f t="shared" si="93"/>
        <v>0.36085626911314983</v>
      </c>
      <c r="Q981" s="5">
        <f t="shared" si="94"/>
        <v>202511</v>
      </c>
      <c r="R981" s="21">
        <f t="shared" si="95"/>
        <v>45962</v>
      </c>
    </row>
    <row r="982" spans="1:18" x14ac:dyDescent="0.25">
      <c r="A982" s="5" t="s">
        <v>1722</v>
      </c>
      <c r="B982" s="14">
        <v>45946</v>
      </c>
      <c r="C982" s="10" t="s">
        <v>1723</v>
      </c>
      <c r="D982" s="10" t="s">
        <v>14</v>
      </c>
      <c r="E982" s="10" t="s">
        <v>33</v>
      </c>
      <c r="F982" s="10" t="s">
        <v>16</v>
      </c>
      <c r="G982" s="15">
        <v>1</v>
      </c>
      <c r="H982" s="11">
        <v>2981.7912999999999</v>
      </c>
      <c r="I982" s="12">
        <v>20</v>
      </c>
      <c r="J982" s="11">
        <v>2385.6223</v>
      </c>
      <c r="K982" s="11">
        <v>273.48070000000001</v>
      </c>
      <c r="L982" s="10" t="s">
        <v>17</v>
      </c>
      <c r="M982" s="5">
        <f t="shared" si="90"/>
        <v>2025</v>
      </c>
      <c r="N982" s="5">
        <f t="shared" si="91"/>
        <v>10</v>
      </c>
      <c r="O982" s="21">
        <f t="shared" si="92"/>
        <v>45931</v>
      </c>
      <c r="P982" s="13">
        <f t="shared" si="93"/>
        <v>0.11463704879016264</v>
      </c>
      <c r="Q982" s="5">
        <f t="shared" si="94"/>
        <v>202510</v>
      </c>
      <c r="R982" s="21">
        <f t="shared" si="95"/>
        <v>45931</v>
      </c>
    </row>
    <row r="983" spans="1:18" x14ac:dyDescent="0.25">
      <c r="A983" s="5" t="s">
        <v>1724</v>
      </c>
      <c r="B983" s="14">
        <v>45551</v>
      </c>
      <c r="C983" s="10" t="s">
        <v>1323</v>
      </c>
      <c r="D983" s="10" t="s">
        <v>37</v>
      </c>
      <c r="E983" s="10" t="s">
        <v>253</v>
      </c>
      <c r="F983" s="10" t="s">
        <v>49</v>
      </c>
      <c r="G983" s="15">
        <v>2</v>
      </c>
      <c r="H983" s="11">
        <v>6938.2715999999991</v>
      </c>
      <c r="I983" s="12">
        <v>15</v>
      </c>
      <c r="J983" s="11">
        <v>11794.683199999999</v>
      </c>
      <c r="K983" s="11">
        <v>5710.9205000000002</v>
      </c>
      <c r="L983" s="10" t="s">
        <v>23</v>
      </c>
      <c r="M983" s="5">
        <f t="shared" si="90"/>
        <v>2024</v>
      </c>
      <c r="N983" s="5">
        <f t="shared" si="91"/>
        <v>9</v>
      </c>
      <c r="O983" s="21">
        <f t="shared" si="92"/>
        <v>45536</v>
      </c>
      <c r="P983" s="13">
        <f t="shared" si="93"/>
        <v>0.48419448010269578</v>
      </c>
      <c r="Q983" s="5">
        <f t="shared" si="94"/>
        <v>202409</v>
      </c>
      <c r="R983" s="21">
        <f t="shared" si="95"/>
        <v>45536</v>
      </c>
    </row>
    <row r="984" spans="1:18" x14ac:dyDescent="0.25">
      <c r="A984" s="5" t="s">
        <v>1725</v>
      </c>
      <c r="B984" s="14">
        <v>45688</v>
      </c>
      <c r="C984" s="10" t="s">
        <v>1726</v>
      </c>
      <c r="D984" s="10" t="s">
        <v>42</v>
      </c>
      <c r="E984" s="10" t="s">
        <v>136</v>
      </c>
      <c r="F984" s="10" t="s">
        <v>75</v>
      </c>
      <c r="G984" s="15">
        <v>3</v>
      </c>
      <c r="H984" s="11">
        <v>5176.2610000000004</v>
      </c>
      <c r="I984" s="12">
        <v>15</v>
      </c>
      <c r="J984" s="11">
        <v>13199.938700000001</v>
      </c>
      <c r="K984" s="11">
        <v>4383.2615999999998</v>
      </c>
      <c r="L984" s="10" t="s">
        <v>17</v>
      </c>
      <c r="M984" s="5">
        <f t="shared" si="90"/>
        <v>2025</v>
      </c>
      <c r="N984" s="5">
        <f t="shared" si="91"/>
        <v>1</v>
      </c>
      <c r="O984" s="21">
        <f t="shared" si="92"/>
        <v>45658</v>
      </c>
      <c r="P984" s="13">
        <f t="shared" si="93"/>
        <v>0.33206681482543549</v>
      </c>
      <c r="Q984" s="5">
        <f t="shared" si="94"/>
        <v>202501</v>
      </c>
      <c r="R984" s="21">
        <f t="shared" si="95"/>
        <v>45658</v>
      </c>
    </row>
    <row r="985" spans="1:18" x14ac:dyDescent="0.25">
      <c r="A985" s="5" t="s">
        <v>1727</v>
      </c>
      <c r="B985" s="14">
        <v>45813</v>
      </c>
      <c r="C985" s="10" t="s">
        <v>791</v>
      </c>
      <c r="D985" s="10" t="s">
        <v>14</v>
      </c>
      <c r="E985" s="10" t="s">
        <v>151</v>
      </c>
      <c r="F985" s="10" t="s">
        <v>39</v>
      </c>
      <c r="G985" s="15">
        <v>1</v>
      </c>
      <c r="H985" s="11">
        <v>3938.5005999999994</v>
      </c>
      <c r="I985" s="12">
        <v>10</v>
      </c>
      <c r="J985" s="11">
        <v>3544.8397999999997</v>
      </c>
      <c r="K985" s="11">
        <v>1234.9214999999999</v>
      </c>
      <c r="L985" s="10" t="s">
        <v>17</v>
      </c>
      <c r="M985" s="5">
        <f t="shared" si="90"/>
        <v>2025</v>
      </c>
      <c r="N985" s="5">
        <f t="shared" si="91"/>
        <v>6</v>
      </c>
      <c r="O985" s="21">
        <f t="shared" si="92"/>
        <v>45809</v>
      </c>
      <c r="P985" s="13">
        <f t="shared" si="93"/>
        <v>0.34837159636946075</v>
      </c>
      <c r="Q985" s="5">
        <f t="shared" si="94"/>
        <v>202506</v>
      </c>
      <c r="R985" s="21">
        <f t="shared" si="95"/>
        <v>45809</v>
      </c>
    </row>
    <row r="986" spans="1:18" x14ac:dyDescent="0.25">
      <c r="A986" s="5" t="s">
        <v>1728</v>
      </c>
      <c r="B986" s="14">
        <v>46014</v>
      </c>
      <c r="C986" s="10" t="s">
        <v>1098</v>
      </c>
      <c r="D986" s="10" t="s">
        <v>26</v>
      </c>
      <c r="E986" s="10" t="s">
        <v>269</v>
      </c>
      <c r="F986" s="10" t="s">
        <v>75</v>
      </c>
      <c r="G986" s="15">
        <v>2</v>
      </c>
      <c r="H986" s="11">
        <v>3704.7644999999998</v>
      </c>
      <c r="I986" s="12">
        <v>0</v>
      </c>
      <c r="J986" s="11">
        <v>7409.5289999999995</v>
      </c>
      <c r="K986" s="11">
        <v>2422.5279999999998</v>
      </c>
      <c r="L986" s="10" t="s">
        <v>17</v>
      </c>
      <c r="M986" s="5">
        <f t="shared" si="90"/>
        <v>2025</v>
      </c>
      <c r="N986" s="5">
        <f t="shared" si="91"/>
        <v>12</v>
      </c>
      <c r="O986" s="21">
        <f t="shared" si="92"/>
        <v>45992</v>
      </c>
      <c r="P986" s="13">
        <f t="shared" si="93"/>
        <v>0.32694763729246484</v>
      </c>
      <c r="Q986" s="5">
        <f t="shared" si="94"/>
        <v>202512</v>
      </c>
      <c r="R986" s="21">
        <f t="shared" si="95"/>
        <v>45992</v>
      </c>
    </row>
    <row r="987" spans="1:18" x14ac:dyDescent="0.25">
      <c r="A987" s="5" t="s">
        <v>1729</v>
      </c>
      <c r="B987" s="14">
        <v>45755</v>
      </c>
      <c r="C987" s="10" t="s">
        <v>1730</v>
      </c>
      <c r="D987" s="10" t="s">
        <v>26</v>
      </c>
      <c r="E987" s="10" t="s">
        <v>38</v>
      </c>
      <c r="F987" s="10" t="s">
        <v>39</v>
      </c>
      <c r="G987" s="15">
        <v>4</v>
      </c>
      <c r="H987" s="11">
        <v>5639.9479999999994</v>
      </c>
      <c r="I987" s="12">
        <v>5</v>
      </c>
      <c r="J987" s="11">
        <v>21431.802399999997</v>
      </c>
      <c r="K987" s="11">
        <v>5691.0482000000002</v>
      </c>
      <c r="L987" s="10" t="s">
        <v>17</v>
      </c>
      <c r="M987" s="5">
        <f t="shared" si="90"/>
        <v>2025</v>
      </c>
      <c r="N987" s="5">
        <f t="shared" si="91"/>
        <v>4</v>
      </c>
      <c r="O987" s="21">
        <f t="shared" si="92"/>
        <v>45748</v>
      </c>
      <c r="P987" s="13">
        <f t="shared" si="93"/>
        <v>0.26554221123277999</v>
      </c>
      <c r="Q987" s="5">
        <f t="shared" si="94"/>
        <v>202504</v>
      </c>
      <c r="R987" s="21">
        <f t="shared" si="95"/>
        <v>45748</v>
      </c>
    </row>
    <row r="988" spans="1:18" x14ac:dyDescent="0.25">
      <c r="A988" s="5" t="s">
        <v>1731</v>
      </c>
      <c r="B988" s="14">
        <v>45514</v>
      </c>
      <c r="C988" s="10" t="s">
        <v>1406</v>
      </c>
      <c r="D988" s="10" t="s">
        <v>20</v>
      </c>
      <c r="E988" s="10" t="s">
        <v>324</v>
      </c>
      <c r="F988" s="10" t="s">
        <v>16</v>
      </c>
      <c r="G988" s="15">
        <v>3</v>
      </c>
      <c r="H988" s="11">
        <v>5181.9387999999999</v>
      </c>
      <c r="I988" s="12">
        <v>0</v>
      </c>
      <c r="J988" s="11">
        <v>15545.8164</v>
      </c>
      <c r="K988" s="11">
        <v>2150.9398999999999</v>
      </c>
      <c r="L988" s="10" t="s">
        <v>23</v>
      </c>
      <c r="M988" s="5">
        <f t="shared" si="90"/>
        <v>2024</v>
      </c>
      <c r="N988" s="5">
        <f t="shared" si="91"/>
        <v>8</v>
      </c>
      <c r="O988" s="21">
        <f t="shared" si="92"/>
        <v>45505</v>
      </c>
      <c r="P988" s="13">
        <f t="shared" si="93"/>
        <v>0.13836133430728026</v>
      </c>
      <c r="Q988" s="5">
        <f t="shared" si="94"/>
        <v>202408</v>
      </c>
      <c r="R988" s="21">
        <f t="shared" si="95"/>
        <v>45505</v>
      </c>
    </row>
    <row r="989" spans="1:18" x14ac:dyDescent="0.25">
      <c r="A989" s="5" t="s">
        <v>1732</v>
      </c>
      <c r="B989" s="14">
        <v>45368</v>
      </c>
      <c r="C989" s="10" t="s">
        <v>761</v>
      </c>
      <c r="D989" s="10" t="s">
        <v>26</v>
      </c>
      <c r="E989" s="10" t="s">
        <v>27</v>
      </c>
      <c r="F989" s="10" t="s">
        <v>22</v>
      </c>
      <c r="G989" s="15">
        <v>3</v>
      </c>
      <c r="H989" s="11">
        <v>2975.1671999999999</v>
      </c>
      <c r="I989" s="12">
        <v>0</v>
      </c>
      <c r="J989" s="11">
        <v>8925.5015999999996</v>
      </c>
      <c r="K989" s="11">
        <v>4783.5464999999995</v>
      </c>
      <c r="L989" s="10" t="s">
        <v>17</v>
      </c>
      <c r="M989" s="5">
        <f t="shared" si="90"/>
        <v>2024</v>
      </c>
      <c r="N989" s="5">
        <f t="shared" si="91"/>
        <v>3</v>
      </c>
      <c r="O989" s="21">
        <f t="shared" si="92"/>
        <v>45352</v>
      </c>
      <c r="P989" s="13">
        <f t="shared" si="93"/>
        <v>0.53594147582697194</v>
      </c>
      <c r="Q989" s="5">
        <f t="shared" si="94"/>
        <v>202403</v>
      </c>
      <c r="R989" s="21">
        <f t="shared" si="95"/>
        <v>45352</v>
      </c>
    </row>
    <row r="990" spans="1:18" x14ac:dyDescent="0.25">
      <c r="A990" s="5" t="s">
        <v>1733</v>
      </c>
      <c r="B990" s="14">
        <v>45657</v>
      </c>
      <c r="C990" s="10" t="s">
        <v>1652</v>
      </c>
      <c r="D990" s="10" t="s">
        <v>37</v>
      </c>
      <c r="E990" s="10" t="s">
        <v>61</v>
      </c>
      <c r="F990" s="10" t="s">
        <v>39</v>
      </c>
      <c r="G990" s="15">
        <v>1</v>
      </c>
      <c r="H990" s="11">
        <v>2999.7709999999997</v>
      </c>
      <c r="I990" s="12">
        <v>20</v>
      </c>
      <c r="J990" s="11">
        <v>2399.8168000000001</v>
      </c>
      <c r="K990" s="11">
        <v>840.31439999999998</v>
      </c>
      <c r="L990" s="10" t="s">
        <v>23</v>
      </c>
      <c r="M990" s="5">
        <f t="shared" si="90"/>
        <v>2024</v>
      </c>
      <c r="N990" s="5">
        <f t="shared" si="91"/>
        <v>12</v>
      </c>
      <c r="O990" s="21">
        <f t="shared" si="92"/>
        <v>45627</v>
      </c>
      <c r="P990" s="13">
        <f t="shared" si="93"/>
        <v>0.35015772870662459</v>
      </c>
      <c r="Q990" s="5">
        <f t="shared" si="94"/>
        <v>202412</v>
      </c>
      <c r="R990" s="21">
        <f t="shared" si="95"/>
        <v>45627</v>
      </c>
    </row>
    <row r="991" spans="1:18" x14ac:dyDescent="0.25">
      <c r="A991" s="5" t="s">
        <v>1734</v>
      </c>
      <c r="B991" s="14">
        <v>45867</v>
      </c>
      <c r="C991" s="10" t="s">
        <v>1735</v>
      </c>
      <c r="D991" s="10" t="s">
        <v>14</v>
      </c>
      <c r="E991" s="10" t="s">
        <v>502</v>
      </c>
      <c r="F991" s="10" t="s">
        <v>22</v>
      </c>
      <c r="G991" s="15">
        <v>2</v>
      </c>
      <c r="H991" s="11">
        <v>2282.4755999999998</v>
      </c>
      <c r="I991" s="12">
        <v>5</v>
      </c>
      <c r="J991" s="11">
        <v>4336.8928999999998</v>
      </c>
      <c r="K991" s="11">
        <v>2208.6641999999997</v>
      </c>
      <c r="L991" s="10" t="s">
        <v>23</v>
      </c>
      <c r="M991" s="5">
        <f t="shared" si="90"/>
        <v>2025</v>
      </c>
      <c r="N991" s="5">
        <f t="shared" si="91"/>
        <v>7</v>
      </c>
      <c r="O991" s="21">
        <f t="shared" si="92"/>
        <v>45839</v>
      </c>
      <c r="P991" s="13">
        <f t="shared" si="93"/>
        <v>0.50927340170194191</v>
      </c>
      <c r="Q991" s="5">
        <f t="shared" si="94"/>
        <v>202507</v>
      </c>
      <c r="R991" s="21">
        <f t="shared" si="95"/>
        <v>45839</v>
      </c>
    </row>
    <row r="992" spans="1:18" x14ac:dyDescent="0.25">
      <c r="A992" s="5" t="s">
        <v>1736</v>
      </c>
      <c r="B992" s="14">
        <v>45628</v>
      </c>
      <c r="C992" s="10" t="s">
        <v>1737</v>
      </c>
      <c r="D992" s="10" t="s">
        <v>26</v>
      </c>
      <c r="E992" s="10" t="s">
        <v>154</v>
      </c>
      <c r="F992" s="10" t="s">
        <v>39</v>
      </c>
      <c r="G992" s="15">
        <v>1</v>
      </c>
      <c r="H992" s="11">
        <v>5045.6715999999997</v>
      </c>
      <c r="I992" s="12">
        <v>0</v>
      </c>
      <c r="J992" s="11">
        <v>5045.6715999999997</v>
      </c>
      <c r="K992" s="11">
        <v>1442.1612</v>
      </c>
      <c r="L992" s="10" t="s">
        <v>34</v>
      </c>
      <c r="M992" s="5">
        <f t="shared" si="90"/>
        <v>2024</v>
      </c>
      <c r="N992" s="5">
        <f t="shared" si="91"/>
        <v>12</v>
      </c>
      <c r="O992" s="21">
        <f t="shared" si="92"/>
        <v>45627</v>
      </c>
      <c r="P992" s="13">
        <f t="shared" si="93"/>
        <v>0.28582145536384096</v>
      </c>
      <c r="Q992" s="5">
        <f t="shared" si="94"/>
        <v>202412</v>
      </c>
      <c r="R992" s="21">
        <f t="shared" si="95"/>
        <v>45627</v>
      </c>
    </row>
    <row r="993" spans="1:18" x14ac:dyDescent="0.25">
      <c r="A993" s="5" t="s">
        <v>1738</v>
      </c>
      <c r="B993" s="14">
        <v>45503</v>
      </c>
      <c r="C993" s="10" t="s">
        <v>1420</v>
      </c>
      <c r="D993" s="10" t="s">
        <v>20</v>
      </c>
      <c r="E993" s="10" t="s">
        <v>556</v>
      </c>
      <c r="F993" s="10" t="s">
        <v>49</v>
      </c>
      <c r="G993" s="15">
        <v>2</v>
      </c>
      <c r="H993" s="11">
        <v>7916.7457999999997</v>
      </c>
      <c r="I993" s="12">
        <v>0</v>
      </c>
      <c r="J993" s="11">
        <v>15833.491599999999</v>
      </c>
      <c r="K993" s="11">
        <v>8290.5342999999993</v>
      </c>
      <c r="L993" s="10" t="s">
        <v>23</v>
      </c>
      <c r="M993" s="5">
        <f t="shared" si="90"/>
        <v>2024</v>
      </c>
      <c r="N993" s="5">
        <f t="shared" si="91"/>
        <v>7</v>
      </c>
      <c r="O993" s="21">
        <f t="shared" si="92"/>
        <v>45474</v>
      </c>
      <c r="P993" s="13">
        <f t="shared" si="93"/>
        <v>0.52360745876165427</v>
      </c>
      <c r="Q993" s="5">
        <f t="shared" si="94"/>
        <v>202407</v>
      </c>
      <c r="R993" s="21">
        <f t="shared" si="95"/>
        <v>45474</v>
      </c>
    </row>
    <row r="994" spans="1:18" x14ac:dyDescent="0.25">
      <c r="A994" s="5" t="s">
        <v>1739</v>
      </c>
      <c r="B994" s="14">
        <v>45633</v>
      </c>
      <c r="C994" s="10" t="s">
        <v>861</v>
      </c>
      <c r="D994" s="10" t="s">
        <v>26</v>
      </c>
      <c r="E994" s="10" t="s">
        <v>177</v>
      </c>
      <c r="F994" s="10" t="s">
        <v>49</v>
      </c>
      <c r="G994" s="15">
        <v>2</v>
      </c>
      <c r="H994" s="11">
        <v>7105.7667000000001</v>
      </c>
      <c r="I994" s="12">
        <v>5</v>
      </c>
      <c r="J994" s="11">
        <v>13500.862099999998</v>
      </c>
      <c r="K994" s="11">
        <v>6107.4202000000005</v>
      </c>
      <c r="L994" s="10" t="s">
        <v>23</v>
      </c>
      <c r="M994" s="5">
        <f t="shared" si="90"/>
        <v>2024</v>
      </c>
      <c r="N994" s="5">
        <f t="shared" si="91"/>
        <v>12</v>
      </c>
      <c r="O994" s="21">
        <f t="shared" si="92"/>
        <v>45627</v>
      </c>
      <c r="P994" s="13">
        <f t="shared" si="93"/>
        <v>0.45237260811663288</v>
      </c>
      <c r="Q994" s="5">
        <f t="shared" si="94"/>
        <v>202412</v>
      </c>
      <c r="R994" s="21">
        <f t="shared" si="95"/>
        <v>45627</v>
      </c>
    </row>
    <row r="995" spans="1:18" x14ac:dyDescent="0.25">
      <c r="A995" s="5" t="s">
        <v>1740</v>
      </c>
      <c r="B995" s="14">
        <v>45950</v>
      </c>
      <c r="C995" s="10" t="s">
        <v>543</v>
      </c>
      <c r="D995" s="10" t="s">
        <v>26</v>
      </c>
      <c r="E995" s="10" t="s">
        <v>253</v>
      </c>
      <c r="F995" s="10" t="s">
        <v>49</v>
      </c>
      <c r="G995" s="15">
        <v>2</v>
      </c>
      <c r="H995" s="11">
        <v>6383.7397999999994</v>
      </c>
      <c r="I995" s="12">
        <v>25</v>
      </c>
      <c r="J995" s="11">
        <v>9575.6096999999991</v>
      </c>
      <c r="K995" s="11">
        <v>3888.3467000000001</v>
      </c>
      <c r="L995" s="10" t="s">
        <v>17</v>
      </c>
      <c r="M995" s="5">
        <f t="shared" si="90"/>
        <v>2025</v>
      </c>
      <c r="N995" s="5">
        <f t="shared" si="91"/>
        <v>10</v>
      </c>
      <c r="O995" s="21">
        <f t="shared" si="92"/>
        <v>45931</v>
      </c>
      <c r="P995" s="13">
        <f t="shared" si="93"/>
        <v>0.40606779326020365</v>
      </c>
      <c r="Q995" s="5">
        <f t="shared" si="94"/>
        <v>202510</v>
      </c>
      <c r="R995" s="21">
        <f t="shared" si="95"/>
        <v>45931</v>
      </c>
    </row>
    <row r="996" spans="1:18" x14ac:dyDescent="0.25">
      <c r="A996" s="5" t="s">
        <v>1741</v>
      </c>
      <c r="B996" s="14">
        <v>45620</v>
      </c>
      <c r="C996" s="10" t="s">
        <v>441</v>
      </c>
      <c r="D996" s="10" t="s">
        <v>42</v>
      </c>
      <c r="E996" s="10" t="s">
        <v>184</v>
      </c>
      <c r="F996" s="10" t="s">
        <v>49</v>
      </c>
      <c r="G996" s="15">
        <v>1</v>
      </c>
      <c r="H996" s="11">
        <v>5296.4411</v>
      </c>
      <c r="I996" s="12">
        <v>15</v>
      </c>
      <c r="J996" s="11">
        <v>4501.5491000000002</v>
      </c>
      <c r="K996" s="11">
        <v>1904.9018999999998</v>
      </c>
      <c r="L996" s="10" t="s">
        <v>17</v>
      </c>
      <c r="M996" s="5">
        <f t="shared" si="90"/>
        <v>2024</v>
      </c>
      <c r="N996" s="5">
        <f t="shared" si="91"/>
        <v>11</v>
      </c>
      <c r="O996" s="21">
        <f t="shared" si="92"/>
        <v>45597</v>
      </c>
      <c r="P996" s="13">
        <f t="shared" si="93"/>
        <v>0.42316586083666169</v>
      </c>
      <c r="Q996" s="5">
        <f t="shared" si="94"/>
        <v>202411</v>
      </c>
      <c r="R996" s="21">
        <f t="shared" si="95"/>
        <v>45597</v>
      </c>
    </row>
    <row r="997" spans="1:18" x14ac:dyDescent="0.25">
      <c r="A997" s="5" t="s">
        <v>1742</v>
      </c>
      <c r="B997" s="14">
        <v>45658</v>
      </c>
      <c r="C997" s="10" t="s">
        <v>357</v>
      </c>
      <c r="D997" s="10" t="s">
        <v>26</v>
      </c>
      <c r="E997" s="10" t="s">
        <v>58</v>
      </c>
      <c r="F997" s="10" t="s">
        <v>49</v>
      </c>
      <c r="G997" s="15">
        <v>1</v>
      </c>
      <c r="H997" s="11">
        <v>7090.6259</v>
      </c>
      <c r="I997" s="12">
        <v>25</v>
      </c>
      <c r="J997" s="11">
        <v>5318.2060000000001</v>
      </c>
      <c r="K997" s="11">
        <v>2814.2961999999998</v>
      </c>
      <c r="L997" s="10" t="s">
        <v>23</v>
      </c>
      <c r="M997" s="5">
        <f t="shared" si="90"/>
        <v>2025</v>
      </c>
      <c r="N997" s="5">
        <f t="shared" si="91"/>
        <v>1</v>
      </c>
      <c r="O997" s="21">
        <f t="shared" si="92"/>
        <v>45658</v>
      </c>
      <c r="P997" s="13">
        <f t="shared" si="93"/>
        <v>0.52918149466192166</v>
      </c>
      <c r="Q997" s="5">
        <f t="shared" si="94"/>
        <v>202501</v>
      </c>
      <c r="R997" s="21">
        <f t="shared" si="95"/>
        <v>45658</v>
      </c>
    </row>
    <row r="998" spans="1:18" x14ac:dyDescent="0.25">
      <c r="A998" s="5" t="s">
        <v>1743</v>
      </c>
      <c r="B998" s="14">
        <v>45980</v>
      </c>
      <c r="C998" s="10" t="s">
        <v>1744</v>
      </c>
      <c r="D998" s="10" t="s">
        <v>37</v>
      </c>
      <c r="E998" s="10" t="s">
        <v>55</v>
      </c>
      <c r="F998" s="10" t="s">
        <v>16</v>
      </c>
      <c r="G998" s="15">
        <v>2</v>
      </c>
      <c r="H998" s="11">
        <v>7896.8734999999997</v>
      </c>
      <c r="I998" s="12">
        <v>15</v>
      </c>
      <c r="J998" s="11">
        <v>13425.158100000001</v>
      </c>
      <c r="K998" s="11">
        <v>2576.7748999999999</v>
      </c>
      <c r="L998" s="10" t="s">
        <v>23</v>
      </c>
      <c r="M998" s="5">
        <f t="shared" si="90"/>
        <v>2025</v>
      </c>
      <c r="N998" s="5">
        <f t="shared" si="91"/>
        <v>11</v>
      </c>
      <c r="O998" s="21">
        <f t="shared" si="92"/>
        <v>45962</v>
      </c>
      <c r="P998" s="13">
        <f t="shared" si="93"/>
        <v>0.19193627969267638</v>
      </c>
      <c r="Q998" s="5">
        <f t="shared" si="94"/>
        <v>202511</v>
      </c>
      <c r="R998" s="21">
        <f t="shared" si="95"/>
        <v>45962</v>
      </c>
    </row>
    <row r="999" spans="1:18" x14ac:dyDescent="0.25">
      <c r="A999" s="5" t="s">
        <v>1745</v>
      </c>
      <c r="B999" s="14">
        <v>45944</v>
      </c>
      <c r="C999" s="10" t="s">
        <v>376</v>
      </c>
      <c r="D999" s="10" t="s">
        <v>20</v>
      </c>
      <c r="E999" s="10" t="s">
        <v>556</v>
      </c>
      <c r="F999" s="10" t="s">
        <v>49</v>
      </c>
      <c r="G999" s="15">
        <v>3</v>
      </c>
      <c r="H999" s="11">
        <v>3924.3060999999998</v>
      </c>
      <c r="I999" s="12">
        <v>10</v>
      </c>
      <c r="J999" s="11">
        <v>10595.721099999999</v>
      </c>
      <c r="K999" s="11">
        <v>5799.8726999999999</v>
      </c>
      <c r="L999" s="10" t="s">
        <v>23</v>
      </c>
      <c r="M999" s="5">
        <f t="shared" si="90"/>
        <v>2025</v>
      </c>
      <c r="N999" s="5">
        <f t="shared" si="91"/>
        <v>10</v>
      </c>
      <c r="O999" s="21">
        <f t="shared" si="92"/>
        <v>45931</v>
      </c>
      <c r="P999" s="13">
        <f t="shared" si="93"/>
        <v>0.54737876216843806</v>
      </c>
      <c r="Q999" s="5">
        <f t="shared" si="94"/>
        <v>202510</v>
      </c>
      <c r="R999" s="21">
        <f t="shared" si="95"/>
        <v>45931</v>
      </c>
    </row>
    <row r="1000" spans="1:18" x14ac:dyDescent="0.25">
      <c r="A1000" s="5" t="s">
        <v>1746</v>
      </c>
      <c r="B1000" s="14">
        <v>45477</v>
      </c>
      <c r="C1000" s="10" t="s">
        <v>1747</v>
      </c>
      <c r="D1000" s="10" t="s">
        <v>14</v>
      </c>
      <c r="E1000" s="10" t="s">
        <v>314</v>
      </c>
      <c r="F1000" s="10" t="s">
        <v>16</v>
      </c>
      <c r="G1000" s="15">
        <v>1</v>
      </c>
      <c r="H1000" s="11">
        <v>7113.3370999999997</v>
      </c>
      <c r="I1000" s="12">
        <v>15</v>
      </c>
      <c r="J1000" s="11">
        <v>6045.9106999999995</v>
      </c>
      <c r="K1000" s="11">
        <v>881.00530000000003</v>
      </c>
      <c r="L1000" s="10" t="s">
        <v>17</v>
      </c>
      <c r="M1000" s="5">
        <f t="shared" si="90"/>
        <v>2024</v>
      </c>
      <c r="N1000" s="5">
        <f t="shared" si="91"/>
        <v>7</v>
      </c>
      <c r="O1000" s="21">
        <f t="shared" si="92"/>
        <v>45474</v>
      </c>
      <c r="P1000" s="13">
        <f t="shared" si="93"/>
        <v>0.14571920488339335</v>
      </c>
      <c r="Q1000" s="5">
        <f t="shared" si="94"/>
        <v>202407</v>
      </c>
      <c r="R1000" s="21">
        <f t="shared" si="95"/>
        <v>45474</v>
      </c>
    </row>
    <row r="1001" spans="1:18" x14ac:dyDescent="0.25">
      <c r="A1001" s="5" t="s">
        <v>1748</v>
      </c>
      <c r="B1001" s="14">
        <v>45850</v>
      </c>
      <c r="C1001" s="10" t="s">
        <v>1339</v>
      </c>
      <c r="D1001" s="10" t="s">
        <v>42</v>
      </c>
      <c r="E1001" s="10" t="s">
        <v>187</v>
      </c>
      <c r="F1001" s="10" t="s">
        <v>75</v>
      </c>
      <c r="G1001" s="15">
        <v>2</v>
      </c>
      <c r="H1001" s="11">
        <v>1600.1932999999999</v>
      </c>
      <c r="I1001" s="12">
        <v>10</v>
      </c>
      <c r="J1001" s="11">
        <v>2880.5371999999998</v>
      </c>
      <c r="K1001" s="11">
        <v>810.97910000000002</v>
      </c>
      <c r="L1001" s="10" t="s">
        <v>17</v>
      </c>
      <c r="M1001" s="5">
        <f t="shared" si="90"/>
        <v>2025</v>
      </c>
      <c r="N1001" s="5">
        <f t="shared" si="91"/>
        <v>7</v>
      </c>
      <c r="O1001" s="21">
        <f t="shared" si="92"/>
        <v>45839</v>
      </c>
      <c r="P1001" s="13">
        <f t="shared" si="93"/>
        <v>0.28153745072273328</v>
      </c>
      <c r="Q1001" s="20">
        <f t="shared" si="94"/>
        <v>202507</v>
      </c>
      <c r="R1001" s="24">
        <f t="shared" si="95"/>
        <v>45839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68C9-FDBE-4667-8592-4C3EE8DC5B9A}">
  <dimension ref="A1:F7"/>
  <sheetViews>
    <sheetView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9.140625" style="7"/>
    <col min="2" max="2" width="13.5703125" style="7" bestFit="1" customWidth="1"/>
    <col min="3" max="3" width="66.28515625" style="7" bestFit="1" customWidth="1"/>
    <col min="4" max="4" width="72.7109375" style="7" bestFit="1" customWidth="1"/>
    <col min="5" max="5" width="57.42578125" style="7" bestFit="1" customWidth="1"/>
    <col min="6" max="6" width="10.42578125" style="7" bestFit="1" customWidth="1"/>
    <col min="7" max="16384" width="9.140625" style="7"/>
  </cols>
  <sheetData>
    <row r="1" spans="1:6" ht="30" x14ac:dyDescent="0.25">
      <c r="A1" s="4" t="s">
        <v>1750</v>
      </c>
      <c r="B1" s="4" t="s">
        <v>1751</v>
      </c>
      <c r="C1" s="4" t="s">
        <v>1752</v>
      </c>
      <c r="D1" s="4" t="s">
        <v>1753</v>
      </c>
      <c r="E1" s="4" t="s">
        <v>1754</v>
      </c>
      <c r="F1" s="4" t="s">
        <v>1749</v>
      </c>
    </row>
    <row r="2" spans="1:6" ht="30" x14ac:dyDescent="0.25">
      <c r="A2" s="3" t="s">
        <v>1755</v>
      </c>
      <c r="B2" s="3" t="s">
        <v>1756</v>
      </c>
      <c r="C2" s="3" t="s">
        <v>1757</v>
      </c>
      <c r="D2" s="3" t="s">
        <v>1758</v>
      </c>
      <c r="E2" s="3" t="s">
        <v>1759</v>
      </c>
      <c r="F2" s="3" t="s">
        <v>1760</v>
      </c>
    </row>
    <row r="3" spans="1:6" ht="30" x14ac:dyDescent="0.25">
      <c r="A3" s="3" t="s">
        <v>1761</v>
      </c>
      <c r="B3" s="3" t="s">
        <v>1762</v>
      </c>
      <c r="C3" s="6" t="s">
        <v>1771</v>
      </c>
      <c r="D3" s="5" t="s">
        <v>1772</v>
      </c>
      <c r="E3" s="3" t="s">
        <v>1759</v>
      </c>
      <c r="F3" s="3" t="s">
        <v>1760</v>
      </c>
    </row>
    <row r="4" spans="1:6" x14ac:dyDescent="0.25">
      <c r="A4" s="3" t="s">
        <v>1763</v>
      </c>
      <c r="B4" s="3" t="s">
        <v>1764</v>
      </c>
      <c r="C4" s="5" t="s">
        <v>1773</v>
      </c>
      <c r="D4" s="5" t="s">
        <v>1774</v>
      </c>
      <c r="E4" s="5" t="s">
        <v>1775</v>
      </c>
      <c r="F4" s="3" t="s">
        <v>1760</v>
      </c>
    </row>
    <row r="5" spans="1:6" x14ac:dyDescent="0.25">
      <c r="A5" s="3" t="s">
        <v>1765</v>
      </c>
      <c r="B5" s="3" t="s">
        <v>1766</v>
      </c>
      <c r="C5" s="5" t="s">
        <v>1776</v>
      </c>
      <c r="D5" s="5" t="s">
        <v>1777</v>
      </c>
      <c r="E5" s="5" t="s">
        <v>1778</v>
      </c>
      <c r="F5" s="3" t="s">
        <v>1760</v>
      </c>
    </row>
    <row r="6" spans="1:6" ht="30" x14ac:dyDescent="0.25">
      <c r="A6" s="3" t="s">
        <v>1767</v>
      </c>
      <c r="B6" s="3" t="s">
        <v>1768</v>
      </c>
      <c r="C6" s="5" t="s">
        <v>1779</v>
      </c>
      <c r="D6" s="5" t="s">
        <v>1780</v>
      </c>
      <c r="E6" s="5" t="s">
        <v>1778</v>
      </c>
      <c r="F6" s="3" t="s">
        <v>1760</v>
      </c>
    </row>
    <row r="7" spans="1:6" ht="30" x14ac:dyDescent="0.25">
      <c r="A7" s="3" t="s">
        <v>1769</v>
      </c>
      <c r="B7" s="3" t="s">
        <v>1770</v>
      </c>
      <c r="C7" s="5" t="s">
        <v>1781</v>
      </c>
      <c r="D7" s="5" t="s">
        <v>1782</v>
      </c>
      <c r="E7" s="5" t="s">
        <v>1778</v>
      </c>
      <c r="F7" s="5" t="s">
        <v>1760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33E8-DE49-4943-BAF2-466F4ED9062F}">
  <dimension ref="A1:B5"/>
  <sheetViews>
    <sheetView workbookViewId="0">
      <selection activeCell="B3" sqref="B3"/>
    </sheetView>
  </sheetViews>
  <sheetFormatPr defaultRowHeight="15" x14ac:dyDescent="0.25"/>
  <cols>
    <col min="1" max="1" width="19" bestFit="1" customWidth="1"/>
    <col min="2" max="2" width="13.28515625" bestFit="1" customWidth="1"/>
  </cols>
  <sheetData>
    <row r="1" spans="1:2" x14ac:dyDescent="0.25">
      <c r="A1" s="31" t="s">
        <v>1787</v>
      </c>
      <c r="B1" s="32" t="s">
        <v>1788</v>
      </c>
    </row>
    <row r="2" spans="1:2" x14ac:dyDescent="0.25">
      <c r="A2" s="28" t="s">
        <v>9</v>
      </c>
      <c r="B2" s="30">
        <f>SUM(Dataset[Total Revenue])</f>
        <v>8535872.9842999987</v>
      </c>
    </row>
    <row r="3" spans="1:2" x14ac:dyDescent="0.25">
      <c r="A3" s="28" t="s">
        <v>1789</v>
      </c>
      <c r="B3" s="30">
        <f>SUM(Dataset[Profit])</f>
        <v>2663657.5419000024</v>
      </c>
    </row>
    <row r="4" spans="1:2" x14ac:dyDescent="0.25">
      <c r="A4" s="28" t="s">
        <v>1791</v>
      </c>
      <c r="B4" s="29">
        <f>COUNTA(Dataset[Order ID])</f>
        <v>1000</v>
      </c>
    </row>
    <row r="5" spans="1:2" x14ac:dyDescent="0.25">
      <c r="A5" s="33" t="s">
        <v>1790</v>
      </c>
      <c r="B5" s="34">
        <f>IFERROR(B2/B4,0)</f>
        <v>8535.8729842999983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FE09-CAEE-4684-93AA-16EF45837251}">
  <dimension ref="A3:B9"/>
  <sheetViews>
    <sheetView workbookViewId="0">
      <selection activeCell="O8" sqref="O8"/>
    </sheetView>
  </sheetViews>
  <sheetFormatPr defaultRowHeight="15" x14ac:dyDescent="0.25"/>
  <cols>
    <col min="1" max="1" width="13.42578125" bestFit="1" customWidth="1"/>
    <col min="2" max="3" width="13.28515625" bestFit="1" customWidth="1"/>
  </cols>
  <sheetData>
    <row r="3" spans="1:2" x14ac:dyDescent="0.25">
      <c r="A3" s="17" t="s">
        <v>1792</v>
      </c>
      <c r="B3" t="s">
        <v>1795</v>
      </c>
    </row>
    <row r="4" spans="1:2" x14ac:dyDescent="0.25">
      <c r="A4" s="18" t="s">
        <v>49</v>
      </c>
      <c r="B4" s="16">
        <v>761903.98199999984</v>
      </c>
    </row>
    <row r="5" spans="1:2" x14ac:dyDescent="0.25">
      <c r="A5" s="18" t="s">
        <v>22</v>
      </c>
      <c r="B5" s="16">
        <v>647367.6152</v>
      </c>
    </row>
    <row r="6" spans="1:2" x14ac:dyDescent="0.25">
      <c r="A6" s="18" t="s">
        <v>39</v>
      </c>
      <c r="B6" s="16">
        <v>471160.87739999982</v>
      </c>
    </row>
    <row r="7" spans="1:2" x14ac:dyDescent="0.25">
      <c r="A7" s="18" t="s">
        <v>16</v>
      </c>
      <c r="B7" s="16">
        <v>433909.77790000004</v>
      </c>
    </row>
    <row r="8" spans="1:2" x14ac:dyDescent="0.25">
      <c r="A8" s="18" t="s">
        <v>75</v>
      </c>
      <c r="B8" s="16">
        <v>349315.28940000013</v>
      </c>
    </row>
    <row r="9" spans="1:2" x14ac:dyDescent="0.25">
      <c r="A9" s="18" t="s">
        <v>1793</v>
      </c>
      <c r="B9" s="16">
        <v>2663657.5418999996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6DD0-A19B-413B-89A7-BEAA1536DC38}">
  <dimension ref="A3:B28"/>
  <sheetViews>
    <sheetView zoomScale="85" zoomScaleNormal="85" workbookViewId="0">
      <selection activeCell="V15" sqref="V15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13.28515625" bestFit="1" customWidth="1"/>
  </cols>
  <sheetData>
    <row r="3" spans="1:2" x14ac:dyDescent="0.25">
      <c r="A3" s="27" t="s">
        <v>1792</v>
      </c>
      <c r="B3" t="s">
        <v>1794</v>
      </c>
    </row>
    <row r="4" spans="1:2" x14ac:dyDescent="0.25">
      <c r="A4" s="26">
        <v>45292</v>
      </c>
      <c r="B4" s="16">
        <v>395327.23430000001</v>
      </c>
    </row>
    <row r="5" spans="1:2" x14ac:dyDescent="0.25">
      <c r="A5" s="26">
        <v>45323</v>
      </c>
      <c r="B5" s="16">
        <v>284633.79180000001</v>
      </c>
    </row>
    <row r="6" spans="1:2" x14ac:dyDescent="0.25">
      <c r="A6" s="26">
        <v>45352</v>
      </c>
      <c r="B6" s="16">
        <v>316307.39909999998</v>
      </c>
    </row>
    <row r="7" spans="1:2" x14ac:dyDescent="0.25">
      <c r="A7" s="26">
        <v>45383</v>
      </c>
      <c r="B7" s="16">
        <v>303069.60839999997</v>
      </c>
    </row>
    <row r="8" spans="1:2" x14ac:dyDescent="0.25">
      <c r="A8" s="26">
        <v>45413</v>
      </c>
      <c r="B8" s="16">
        <v>334969.38140000001</v>
      </c>
    </row>
    <row r="9" spans="1:2" x14ac:dyDescent="0.25">
      <c r="A9" s="26">
        <v>45444</v>
      </c>
      <c r="B9" s="16">
        <v>417542.5731000001</v>
      </c>
    </row>
    <row r="10" spans="1:2" x14ac:dyDescent="0.25">
      <c r="A10" s="26">
        <v>45474</v>
      </c>
      <c r="B10" s="16">
        <v>355063.11560000002</v>
      </c>
    </row>
    <row r="11" spans="1:2" x14ac:dyDescent="0.25">
      <c r="A11" s="26">
        <v>45505</v>
      </c>
      <c r="B11" s="16">
        <v>304482.43429999996</v>
      </c>
    </row>
    <row r="12" spans="1:2" x14ac:dyDescent="0.25">
      <c r="A12" s="26">
        <v>45536</v>
      </c>
      <c r="B12" s="16">
        <v>393209.41489999997</v>
      </c>
    </row>
    <row r="13" spans="1:2" x14ac:dyDescent="0.25">
      <c r="A13" s="26">
        <v>45566</v>
      </c>
      <c r="B13" s="16">
        <v>247710.11210000003</v>
      </c>
    </row>
    <row r="14" spans="1:2" x14ac:dyDescent="0.25">
      <c r="A14" s="26">
        <v>45597</v>
      </c>
      <c r="B14" s="16">
        <v>560127.2718999997</v>
      </c>
    </row>
    <row r="15" spans="1:2" x14ac:dyDescent="0.25">
      <c r="A15" s="26">
        <v>45627</v>
      </c>
      <c r="B15" s="16">
        <v>535103.3147000001</v>
      </c>
    </row>
    <row r="16" spans="1:2" x14ac:dyDescent="0.25">
      <c r="A16" s="26">
        <v>45658</v>
      </c>
      <c r="B16" s="16">
        <v>380529.94120000006</v>
      </c>
    </row>
    <row r="17" spans="1:2" x14ac:dyDescent="0.25">
      <c r="A17" s="26">
        <v>45689</v>
      </c>
      <c r="B17" s="16">
        <v>221648.06380000003</v>
      </c>
    </row>
    <row r="18" spans="1:2" x14ac:dyDescent="0.25">
      <c r="A18" s="26">
        <v>45717</v>
      </c>
      <c r="B18" s="16">
        <v>260216.41290000008</v>
      </c>
    </row>
    <row r="19" spans="1:2" x14ac:dyDescent="0.25">
      <c r="A19" s="26">
        <v>45748</v>
      </c>
      <c r="B19" s="16">
        <v>363747.31069999991</v>
      </c>
    </row>
    <row r="20" spans="1:2" x14ac:dyDescent="0.25">
      <c r="A20" s="26">
        <v>45778</v>
      </c>
      <c r="B20" s="16">
        <v>306972.1496</v>
      </c>
    </row>
    <row r="21" spans="1:2" x14ac:dyDescent="0.25">
      <c r="A21" s="26">
        <v>45809</v>
      </c>
      <c r="B21" s="16">
        <v>271397.89370000002</v>
      </c>
    </row>
    <row r="22" spans="1:2" x14ac:dyDescent="0.25">
      <c r="A22" s="26">
        <v>45839</v>
      </c>
      <c r="B22" s="16">
        <v>224259.85180000003</v>
      </c>
    </row>
    <row r="23" spans="1:2" x14ac:dyDescent="0.25">
      <c r="A23" s="26">
        <v>45870</v>
      </c>
      <c r="B23" s="16">
        <v>264475.70920000004</v>
      </c>
    </row>
    <row r="24" spans="1:2" x14ac:dyDescent="0.25">
      <c r="A24" s="26">
        <v>45901</v>
      </c>
      <c r="B24" s="16">
        <v>359976.30519999994</v>
      </c>
    </row>
    <row r="25" spans="1:2" x14ac:dyDescent="0.25">
      <c r="A25" s="26">
        <v>45931</v>
      </c>
      <c r="B25" s="16">
        <v>519208.31359999999</v>
      </c>
    </row>
    <row r="26" spans="1:2" x14ac:dyDescent="0.25">
      <c r="A26" s="26">
        <v>45962</v>
      </c>
      <c r="B26" s="16">
        <v>403150.29640000011</v>
      </c>
    </row>
    <row r="27" spans="1:2" x14ac:dyDescent="0.25">
      <c r="A27" s="26">
        <v>45992</v>
      </c>
      <c r="B27" s="16">
        <v>512745.08459999994</v>
      </c>
    </row>
    <row r="28" spans="1:2" x14ac:dyDescent="0.25">
      <c r="A28" s="18" t="s">
        <v>1793</v>
      </c>
      <c r="B28" s="16">
        <v>8535872.9843000006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8CEA-5F9A-4874-A765-E551F76B2D08}">
  <dimension ref="A3:B9"/>
  <sheetViews>
    <sheetView workbookViewId="0">
      <selection activeCell="B22" sqref="B22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13.28515625" bestFit="1" customWidth="1"/>
  </cols>
  <sheetData>
    <row r="3" spans="1:2" x14ac:dyDescent="0.25">
      <c r="A3" s="17" t="s">
        <v>1792</v>
      </c>
      <c r="B3" t="s">
        <v>1794</v>
      </c>
    </row>
    <row r="4" spans="1:2" x14ac:dyDescent="0.25">
      <c r="A4" s="18" t="s">
        <v>26</v>
      </c>
      <c r="B4" s="16">
        <v>1873416.606399999</v>
      </c>
    </row>
    <row r="5" spans="1:2" x14ac:dyDescent="0.25">
      <c r="A5" s="18" t="s">
        <v>20</v>
      </c>
      <c r="B5" s="16">
        <v>1781864.9202999994</v>
      </c>
    </row>
    <row r="6" spans="1:2" x14ac:dyDescent="0.25">
      <c r="A6" s="18" t="s">
        <v>42</v>
      </c>
      <c r="B6" s="16">
        <v>1773856.3833999983</v>
      </c>
    </row>
    <row r="7" spans="1:2" x14ac:dyDescent="0.25">
      <c r="A7" s="18" t="s">
        <v>37</v>
      </c>
      <c r="B7" s="16">
        <v>1669717.0146999997</v>
      </c>
    </row>
    <row r="8" spans="1:2" x14ac:dyDescent="0.25">
      <c r="A8" s="18" t="s">
        <v>14</v>
      </c>
      <c r="B8" s="16">
        <v>1437018.0595</v>
      </c>
    </row>
    <row r="9" spans="1:2" x14ac:dyDescent="0.25">
      <c r="A9" s="18" t="s">
        <v>1793</v>
      </c>
      <c r="B9" s="16">
        <v>8535872.9842999969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CE74-A710-49CB-860D-089CA8A5BB96}">
  <dimension ref="A3:B7"/>
  <sheetViews>
    <sheetView workbookViewId="0">
      <selection activeCell="P21" sqref="P21"/>
    </sheetView>
  </sheetViews>
  <sheetFormatPr defaultRowHeight="15" x14ac:dyDescent="0.25"/>
  <cols>
    <col min="1" max="1" width="13.42578125" bestFit="1" customWidth="1"/>
    <col min="2" max="2" width="20.85546875" bestFit="1" customWidth="1"/>
  </cols>
  <sheetData>
    <row r="3" spans="1:2" x14ac:dyDescent="0.25">
      <c r="A3" s="17" t="s">
        <v>1792</v>
      </c>
      <c r="B3" t="s">
        <v>1794</v>
      </c>
    </row>
    <row r="4" spans="1:2" x14ac:dyDescent="0.25">
      <c r="A4" s="18" t="s">
        <v>17</v>
      </c>
      <c r="B4" s="16">
        <v>4751413.9372000042</v>
      </c>
    </row>
    <row r="5" spans="1:2" x14ac:dyDescent="0.25">
      <c r="A5" s="18" t="s">
        <v>23</v>
      </c>
      <c r="B5" s="16">
        <v>3017699.5998000014</v>
      </c>
    </row>
    <row r="6" spans="1:2" x14ac:dyDescent="0.25">
      <c r="A6" s="18" t="s">
        <v>34</v>
      </c>
      <c r="B6" s="16">
        <v>766759.4473</v>
      </c>
    </row>
    <row r="7" spans="1:2" x14ac:dyDescent="0.25">
      <c r="A7" s="18" t="s">
        <v>1793</v>
      </c>
      <c r="B7" s="16">
        <v>8535872.9843000062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0766-E8A7-4E7D-B54A-311E165FDBD5}">
  <dimension ref="A3:B9"/>
  <sheetViews>
    <sheetView workbookViewId="0">
      <selection activeCell="Q5" sqref="Q5"/>
    </sheetView>
  </sheetViews>
  <sheetFormatPr defaultRowHeight="15" x14ac:dyDescent="0.25"/>
  <cols>
    <col min="1" max="1" width="13.42578125" bestFit="1" customWidth="1"/>
    <col min="2" max="2" width="15.5703125" bestFit="1" customWidth="1"/>
  </cols>
  <sheetData>
    <row r="3" spans="1:2" x14ac:dyDescent="0.25">
      <c r="A3" s="17" t="s">
        <v>1792</v>
      </c>
      <c r="B3" t="s">
        <v>1798</v>
      </c>
    </row>
    <row r="4" spans="1:2" x14ac:dyDescent="0.25">
      <c r="A4" s="18" t="s">
        <v>22</v>
      </c>
      <c r="B4">
        <v>465</v>
      </c>
    </row>
    <row r="5" spans="1:2" x14ac:dyDescent="0.25">
      <c r="A5" s="18" t="s">
        <v>75</v>
      </c>
      <c r="B5">
        <v>442</v>
      </c>
    </row>
    <row r="6" spans="1:2" x14ac:dyDescent="0.25">
      <c r="A6" s="18" t="s">
        <v>39</v>
      </c>
      <c r="B6">
        <v>395</v>
      </c>
    </row>
    <row r="7" spans="1:2" x14ac:dyDescent="0.25">
      <c r="A7" s="18" t="s">
        <v>49</v>
      </c>
      <c r="B7">
        <v>388</v>
      </c>
    </row>
    <row r="8" spans="1:2" x14ac:dyDescent="0.25">
      <c r="A8" s="18" t="s">
        <v>16</v>
      </c>
      <c r="B8">
        <v>339</v>
      </c>
    </row>
    <row r="9" spans="1:2" x14ac:dyDescent="0.25">
      <c r="A9" s="18" t="s">
        <v>1793</v>
      </c>
      <c r="B9">
        <v>2029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D698-8C16-4AD4-AB0C-02FC35851E7E}">
  <dimension ref="A2:B25"/>
  <sheetViews>
    <sheetView workbookViewId="0">
      <selection activeCell="S20" sqref="S20"/>
    </sheetView>
  </sheetViews>
  <sheetFormatPr defaultRowHeight="15" x14ac:dyDescent="0.25"/>
  <cols>
    <col min="1" max="1" width="9.28515625" bestFit="1" customWidth="1"/>
    <col min="2" max="2" width="11.5703125" bestFit="1" customWidth="1"/>
    <col min="8" max="8" width="11.5703125" bestFit="1" customWidth="1"/>
  </cols>
  <sheetData>
    <row r="2" spans="1:2" x14ac:dyDescent="0.25">
      <c r="A2" s="26">
        <v>45292</v>
      </c>
      <c r="B2" s="16">
        <v>395327.23430000001</v>
      </c>
    </row>
    <row r="3" spans="1:2" x14ac:dyDescent="0.25">
      <c r="A3" s="26">
        <v>45323</v>
      </c>
      <c r="B3" s="16">
        <v>284633.79180000001</v>
      </c>
    </row>
    <row r="4" spans="1:2" x14ac:dyDescent="0.25">
      <c r="A4" s="26">
        <v>45352</v>
      </c>
      <c r="B4" s="16">
        <v>316307.39909999998</v>
      </c>
    </row>
    <row r="5" spans="1:2" x14ac:dyDescent="0.25">
      <c r="A5" s="26">
        <v>45383</v>
      </c>
      <c r="B5" s="16">
        <v>303069.60839999997</v>
      </c>
    </row>
    <row r="6" spans="1:2" x14ac:dyDescent="0.25">
      <c r="A6" s="26">
        <v>45413</v>
      </c>
      <c r="B6" s="16">
        <v>334969.38140000001</v>
      </c>
    </row>
    <row r="7" spans="1:2" x14ac:dyDescent="0.25">
      <c r="A7" s="26">
        <v>45444</v>
      </c>
      <c r="B7" s="16">
        <v>417542.5731000001</v>
      </c>
    </row>
    <row r="8" spans="1:2" x14ac:dyDescent="0.25">
      <c r="A8" s="26">
        <v>45474</v>
      </c>
      <c r="B8" s="16">
        <v>355063.11560000002</v>
      </c>
    </row>
    <row r="9" spans="1:2" x14ac:dyDescent="0.25">
      <c r="A9" s="26">
        <v>45505</v>
      </c>
      <c r="B9" s="16">
        <v>304482.43429999996</v>
      </c>
    </row>
    <row r="10" spans="1:2" x14ac:dyDescent="0.25">
      <c r="A10" s="26">
        <v>45536</v>
      </c>
      <c r="B10" s="16">
        <v>393209.41489999997</v>
      </c>
    </row>
    <row r="11" spans="1:2" x14ac:dyDescent="0.25">
      <c r="A11" s="26">
        <v>45566</v>
      </c>
      <c r="B11" s="16">
        <v>247710.11210000003</v>
      </c>
    </row>
    <row r="12" spans="1:2" x14ac:dyDescent="0.25">
      <c r="A12" s="26">
        <v>45597</v>
      </c>
      <c r="B12" s="16">
        <v>560127.2718999997</v>
      </c>
    </row>
    <row r="13" spans="1:2" x14ac:dyDescent="0.25">
      <c r="A13" s="26">
        <v>45627</v>
      </c>
      <c r="B13" s="16">
        <v>535103.3147000001</v>
      </c>
    </row>
    <row r="14" spans="1:2" x14ac:dyDescent="0.25">
      <c r="A14" s="26">
        <v>45658</v>
      </c>
      <c r="B14" s="16">
        <v>380529.94120000006</v>
      </c>
    </row>
    <row r="15" spans="1:2" x14ac:dyDescent="0.25">
      <c r="A15" s="26">
        <v>45689</v>
      </c>
      <c r="B15" s="16">
        <v>221648.06380000003</v>
      </c>
    </row>
    <row r="16" spans="1:2" x14ac:dyDescent="0.25">
      <c r="A16" s="26">
        <v>45717</v>
      </c>
      <c r="B16" s="16">
        <v>260216.41290000008</v>
      </c>
    </row>
    <row r="17" spans="1:2" x14ac:dyDescent="0.25">
      <c r="A17" s="26">
        <v>45748</v>
      </c>
      <c r="B17" s="16">
        <v>363747.31069999991</v>
      </c>
    </row>
    <row r="18" spans="1:2" x14ac:dyDescent="0.25">
      <c r="A18" s="26">
        <v>45778</v>
      </c>
      <c r="B18" s="16">
        <v>306972.1496</v>
      </c>
    </row>
    <row r="19" spans="1:2" x14ac:dyDescent="0.25">
      <c r="A19" s="26">
        <v>45809</v>
      </c>
      <c r="B19" s="16">
        <v>271397.89370000002</v>
      </c>
    </row>
    <row r="20" spans="1:2" x14ac:dyDescent="0.25">
      <c r="A20" s="26">
        <v>45839</v>
      </c>
      <c r="B20" s="16">
        <v>224259.85180000003</v>
      </c>
    </row>
    <row r="21" spans="1:2" x14ac:dyDescent="0.25">
      <c r="A21" s="26">
        <v>45870</v>
      </c>
      <c r="B21" s="16">
        <v>264475.70920000004</v>
      </c>
    </row>
    <row r="22" spans="1:2" x14ac:dyDescent="0.25">
      <c r="A22" s="26">
        <v>45901</v>
      </c>
      <c r="B22" s="16">
        <v>359976.30519999994</v>
      </c>
    </row>
    <row r="23" spans="1:2" x14ac:dyDescent="0.25">
      <c r="A23" s="26">
        <v>45931</v>
      </c>
      <c r="B23" s="16">
        <v>519208.31359999999</v>
      </c>
    </row>
    <row r="24" spans="1:2" x14ac:dyDescent="0.25">
      <c r="A24" s="26">
        <v>45962</v>
      </c>
      <c r="B24" s="16">
        <v>403150.29640000011</v>
      </c>
    </row>
    <row r="25" spans="1:2" x14ac:dyDescent="0.25">
      <c r="A25" s="26">
        <v>45992</v>
      </c>
      <c r="B25" s="16">
        <v>512745.08459999994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Sales Dashboard</vt:lpstr>
      <vt:lpstr>Dataset</vt:lpstr>
      <vt:lpstr>Cleaning Log</vt:lpstr>
      <vt:lpstr>KPI Summary</vt:lpstr>
      <vt:lpstr>Category Analysis</vt:lpstr>
      <vt:lpstr>Monthly Revenue</vt:lpstr>
      <vt:lpstr>Regional Revenue</vt:lpstr>
      <vt:lpstr>Shipping Analysis</vt:lpstr>
      <vt:lpstr>Quantity Analysis</vt:lpstr>
      <vt:lpstr>Monthly 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NEHA WAKKAR</cp:lastModifiedBy>
  <dcterms:created xsi:type="dcterms:W3CDTF">2026-03-11T02:30:25Z</dcterms:created>
  <dcterms:modified xsi:type="dcterms:W3CDTF">2026-10-28T05:05:46Z</dcterms:modified>
</cp:coreProperties>
</file>